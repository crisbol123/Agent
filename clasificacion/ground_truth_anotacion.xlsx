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tesis\Agent\"/>
    </mc:Choice>
  </mc:AlternateContent>
  <xr:revisionPtr revIDLastSave="0" documentId="13_ncr:1_{3A034804-E388-4841-AAF7-74658C454E9F}" xr6:coauthVersionLast="47" xr6:coauthVersionMax="47" xr10:uidLastSave="{00000000-0000-0000-0000-000000000000}"/>
  <bookViews>
    <workbookView xWindow="-120" yWindow="-120" windowWidth="29040" windowHeight="15720" xr2:uid="{00000000-000D-0000-FFFF-FFFF00000000}"/>
  </bookViews>
  <sheets>
    <sheet name="Anotación" sheetId="1" r:id="rId1"/>
    <sheet name="Guía de Categorías" sheetId="2" r:id="rId2"/>
    <sheet name="Estadística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C11" i="3" s="1"/>
  <c r="B8" i="3"/>
  <c r="D8" i="3" s="1"/>
  <c r="B7" i="3"/>
  <c r="D7" i="3" s="1"/>
  <c r="B6" i="3"/>
  <c r="D6" i="3" s="1"/>
  <c r="B5" i="3"/>
  <c r="D5" i="3" s="1"/>
  <c r="B4" i="3"/>
  <c r="C4" i="3" s="1"/>
  <c r="B3" i="3"/>
  <c r="B9" i="3" l="1"/>
  <c r="C9" i="3" s="1"/>
  <c r="D4" i="3"/>
  <c r="C3" i="3"/>
  <c r="D3" i="3"/>
  <c r="C5" i="3"/>
  <c r="C7" i="3"/>
  <c r="C6" i="3"/>
  <c r="C8" i="3"/>
</calcChain>
</file>

<file path=xl/sharedStrings.xml><?xml version="1.0" encoding="utf-8"?>
<sst xmlns="http://schemas.openxmlformats.org/spreadsheetml/2006/main" count="1052" uniqueCount="538">
  <si>
    <t>Ground Truth — Clasificación Manual de Requerimientos de Red</t>
  </si>
  <si>
    <t>Muestra estratificada: 500 preguntas | Margen de error: ±4.4% (95% confianza) | Dataset total: 4,570</t>
  </si>
  <si>
    <t>#</t>
  </si>
  <si>
    <t>Pregunta</t>
  </si>
  <si>
    <t>Dominio sugerido</t>
  </si>
  <si>
    <t>TU CATEGORÍA</t>
  </si>
  <si>
    <t>Confianza (1-3)</t>
  </si>
  <si>
    <t>Notas</t>
  </si>
  <si>
    <t>Revisor 2</t>
  </si>
  <si>
    <t>How do you configure the device as a border router (BR85) with a Loopback0 interface and domain settings for Performance Routing Version 3?</t>
  </si>
  <si>
    <t>CONNECTIVITY</t>
  </si>
  <si>
    <t>How can we configure the device to send and receive CFM frames using the relay function while dropping CFM frames from the direction of the wire?</t>
  </si>
  <si>
    <t>GENERAL</t>
  </si>
  <si>
    <t>How do you configure the crypto provisioning registrar on a Cisco router to use a default configuration file and execute a specific CGI script?</t>
  </si>
  <si>
    <t>SECURITY</t>
  </si>
  <si>
    <t>How do you update the SAF peering site prefix for Capability and site-prefix?</t>
  </si>
  <si>
    <t>What is the recommended interval for setting continuity check in Ethernet connectivity fault management?</t>
  </si>
  <si>
    <t>How can we address reuse in different zones of non-global scope?</t>
  </si>
  <si>
    <t>How can we configure the router to save a self-signed certificate in the startup configuration to enable SSL handshakes between client and HTTPS server without user intervention?</t>
  </si>
  <si>
    <t>How to define a class map with match-any criteria based on a specified protocol in Cisco IOS?</t>
  </si>
  <si>
    <t>How can you apply a service policy to the output traffic in Cisco IOS?</t>
  </si>
  <si>
    <t>How do you set bandwidth for different classes in a policy map on a router?</t>
  </si>
  <si>
    <t>QOS</t>
  </si>
  <si>
    <t>How can we extend LACP to operate over a multichassis setup and synchronize protocol attributes and states between the two chassis?</t>
  </si>
  <si>
    <t>How can I enable VRRPv3 on a device and configure the parameters for creating a VRRP group?</t>
  </si>
  <si>
    <t>What is the required configuration to enable VRF-aware NAT for WAN-WAN topology with symmetric routing box-to-box redundancy?</t>
  </si>
  <si>
    <t>ROUTING</t>
  </si>
  <si>
    <t>What is the Cisco IOS command used to enable the Certificate Enrollment for a Public Key Infrastructure (PKI) in a Suite-B supported network?</t>
  </si>
  <si>
    <t>What is the purpose of the "crypto isakmp invalid-spi-recovery" command in Cisco IOS?</t>
  </si>
  <si>
    <t>How will the certificate name be used in Cisco IOS configuration?</t>
  </si>
  <si>
    <t>How can we configure the SNMP Support for VPNs—Context-Based Access Control feature to associate SNMP agents and managers with specific VRFs for sending SNMP notifications (traps and informs) and responses between agents?</t>
  </si>
  <si>
    <t>MONITORING</t>
  </si>
  <si>
    <t>How can I configure RADIUS Attribute 55 Event-Timestamp for accounting and authentication requests in Cisco IOS?</t>
  </si>
  <si>
    <t>How do you configure the default-information originate command on an interface to control the originating of the default route (::/0) in updates sent on that interface?</t>
  </si>
  <si>
    <t>How do you verify IPv4 multicast forwarding using the MFIB in PIM-SM, PIM-SSM, and bidir-PIM networks?</t>
  </si>
  <si>
    <t>How do I configure a performance-monitor type flow monitor with optional description, cache, statistics, exporter, and record settings?</t>
  </si>
  <si>
    <t>How can you specify sources for Test Receiver monitoring in MRM test?</t>
  </si>
  <si>
    <t>How can we process and classify IP GRE encapsulated Ethernet packets with transparent Ethernet bridging protocol (0x6558) as Ethernet over soft GRE packets?</t>
  </si>
  <si>
    <t>What is the basic command to configure a tunnel interface on a Cisco router for Dynamic Multipoint VPN (DMVPN)?</t>
  </si>
  <si>
    <t>How do you enable HSL for all NAT translations and configure specific VPNs?</t>
  </si>
  <si>
    <t>How do I attach policy-maps to logical interfaces for management in scaled environments and ease of configuration?</t>
  </si>
  <si>
    <t>How can we monitor the NAT translation information?</t>
  </si>
  <si>
    <t>How do you configure Syslog to send logs from a remote host to a central location?</t>
  </si>
  <si>
    <t>What is the command to configure the router ID for both IPv4 and IPv6 BGP instances within a VRF context?</t>
  </si>
  <si>
    <t>How can you configure an interface for PPP encapsulation and set the number of authentication retries to two or more?</t>
  </si>
  <si>
    <t>What is the policer configuration for voice traffic in a hierarchical policer setup?</t>
  </si>
  <si>
    <t>How can you enable IP ARP polling for unnumbered interfaces in Cisco IOS?</t>
  </si>
  <si>
    <t>What configuration command is used to set the group ID for Multichassis LACP (mLACP) port-channel for redundancy in VPLS?</t>
  </si>
  <si>
    <t>What are the VRF configurations for blue and red forwarding tables?</t>
  </si>
  <si>
    <t>What is the command to configure the ISAKMP key for dynamic multipoint VPN in Cisco routers?</t>
  </si>
  <si>
    <t>What is the requirement for configuring header-compression connections on HDLC interfaces in a Cisco router?</t>
  </si>
  <si>
    <t>How can you configure the device to forward multicast traffic when there are no directly connected IGMP hosts?</t>
  </si>
  <si>
    <t>What is the basic mapping rule (BMR) address that a MAP-T CE device uses to receive packets?</t>
  </si>
  <si>
    <t>What are the general steps to configure a VTI for site-to-site IPv6 IPsec protection on Cisco routers?</t>
  </si>
  <si>
    <t>What is the hello keepalive interval configured for L2TP?</t>
  </si>
  <si>
    <t>What is the purpose of using the "broadcast" keyword in the "aaa accounting command" in Cisco IOS?</t>
  </si>
  <si>
    <t>How do you enable MAC security and configure sticky MAC address on a service instance?</t>
  </si>
  <si>
    <t>What type of triggers can we set in the Event MIB to monitor changes in objects?</t>
  </si>
  <si>
    <t>To enable privileged EXEC mode on a Cisco device, what command would you use?</t>
  </si>
  <si>
    <t>How can we ensure that our router is configured to handle a large number of packets received?</t>
  </si>
  <si>
    <t>What is the necessary configuration required at the hub site to ensure that the branch site can still communicate with the master-hub controller even if one of the hub-border routers fails?</t>
  </si>
  <si>
    <t>What is the command to configure OSPF with network address 172.16.102.10/30, area 0, and router ID 10.2.10.10?</t>
  </si>
  <si>
    <t>What is the configuration of the "my-company-network" object group in Cisco IOS?</t>
  </si>
  <si>
    <t>How do I enable PIM passive mode on an interface for multicast routing?</t>
  </si>
  <si>
    <t>How can we configure a larger retention interval for retries in Cisco IOS?</t>
  </si>
  <si>
    <t>How do you configure a Sun RPC Firewall Policy Map in Cisco IOS?</t>
  </si>
  <si>
    <t>How can you enable EST (Enrolment Over Secure Transport) support and configure a trustpoint to use EST?</t>
  </si>
  <si>
    <t>How can you enable IPv6 PIM Passive mode on the Cisco IOS XE platform?</t>
  </si>
  <si>
    <t>What is the purpose of the "ip mroute" command used in PIM dense mode to ensure successful RPF checks for multicast source address?</t>
  </si>
  <si>
    <t>How can we configure the Cisco Network Access Server to communicate with TACACS+ security server?</t>
  </si>
  <si>
    <t>What policer configuration would allow traffic to be policed using a 2R3C policer to differentiate between conforming, exceeding, and violating traffic rates based on CIR and PIR values?</t>
  </si>
  <si>
    <t>How do you configure the MA name and number for Ethernet CFM on a Cisco ASR 1000 router?</t>
  </si>
  <si>
    <t>How can we notify clients about the protocol state, virtual MAC (vMAC) address, and virtual IP address information associated with a VRRP group?</t>
  </si>
  <si>
    <t>How can we disable the HTTP server and secure server on our Cisco device?</t>
  </si>
  <si>
    <t>What is the correct command to enable Ethernet CFM on a Cisco ASR 1K router?</t>
  </si>
  <si>
    <t>How do we configure IP SLAs to perform On-Demand and Concurrent Operations with Class of Service (CoS)-level monitoring enabled for Ethernet frame loss operations?</t>
  </si>
  <si>
    <t>What command can be used to enable PfRv3 Transit Site Support feature to configure multiple data centers at the hub site in a Cisco router?</t>
  </si>
  <si>
    <t>What is the minimum delay period for FHRP clients to initialize after the interface comes up?</t>
  </si>
  <si>
    <t>What is the maximum number of dropouts allowed when sampling RTP video-monitoring metrics?</t>
  </si>
  <si>
    <t>How do I configure priority in the parent of a hierarchical policy with Priority Propagation?</t>
  </si>
  <si>
    <t>** How do you configure the alert on Device(config-profile) in a Network Security Configuration for High Availability (HA)?</t>
  </si>
  <si>
    <t>What happens when the queue depth reaches the preconfigured limit on a Cisco network device?</t>
  </si>
  <si>
    <t>How do I enable Bidirectional Forwarding Detection (BFD) support for Multicast Protocol Independent Multicast (PIM) on a Cisco router running IOS Release 15.4(1)T?</t>
  </si>
  <si>
    <t>What are the configurations required to support Firewall and NAT features in the network?</t>
  </si>
  <si>
    <t>What command can I use to enable SPI matching on endpoints for crypto IPsec NAT transparency?</t>
  </si>
  <si>
    <t>What is the authentication method configured for the specified interface?</t>
  </si>
  <si>
    <t>What is the configuration to configure IP routing for networks 10.10.10.0 and 172.22.33.0 on the gigabitethernet1/1/1 interface?</t>
  </si>
  <si>
    <t>How do you configure SNMP support for VLAN subinterfaces on Cisco 3600 series, Cisco 4400-m series, Cisco 7200 series, and Cisco 7500 series routers?</t>
  </si>
  <si>
    <t>How can we configure POD to terminate connections on NAS when specific session attributes are identified?</t>
  </si>
  <si>
    <t>What is the recommended way to configure LACP (Link Aggregation Control Protocol) for Gigabit interfaces in Cisco IOS?</t>
  </si>
  <si>
    <t>How can you configure an interface to use GRE multipoint tunneling with specific IP address, NHRP settings, and tunnel settings?</t>
  </si>
  <si>
    <t>How can we ensure that SIP traffic from SIP phones is supported and allowed to reach the Cisco Call Manager or Cisco Call Manager Express through the Cisco IOS XE Firewall?</t>
  </si>
  <si>
    <t>How can we implement Priority Queueing (PQ) on WAN links to ensure mission-critical traffic is given priority?</t>
  </si>
  <si>
    <t>How do I implement a fair-queue mechanism on interfaces in Cisco IOS Release 15.0(1)S for WFQ (Weighted Fair Queuing) and dynamic queues?</t>
  </si>
  <si>
    <t>How do you configure traffic shaping for a specific class in a policy map based on bandwidth percentage and optional burst sizes?</t>
  </si>
  <si>
    <t>How can I enter the global configuration mode?</t>
  </si>
  <si>
    <t>How can I enable Enrolment Over Secure Transport (EST) for all trustpoints while using SSL or TLS to secure transport?</t>
  </si>
  <si>
    <t>How do you verify the operation of scheduling with show policy-map interface command to view long term trends and complete view of the policy?</t>
  </si>
  <si>
    <t>How to configure BFD Dampening on a multihop template-name session using the BFD template in Cisco IOS?</t>
  </si>
  <si>
    <t>What is the maximum number of sessions that can be supported by Cisco ASR 1k Series Aggregation Services Routers when enabling BFD support?</t>
  </si>
  <si>
    <t>What is the recommended configuration for SNMP Manager-role output packets to ensure specific types of PDUs are being sent?</t>
  </si>
  <si>
    <t>What is the command required to implement the NBAR2 HTTP-based Visibility Dashboard in Cisco IOS XE Release 3.16S?</t>
  </si>
  <si>
    <t>What steps can you take to configure VXLAN HA on multicast mode for VXLAN-MCLAG active-active high availability support?</t>
  </si>
  <si>
    <t>How can you enable stateless NAT64 translation on an IPv6 interface in Cisco IOS?</t>
  </si>
  <si>
    <t>What is the purpose of configuring multiple Hot Standby groups on an interface in HSRP?</t>
  </si>
  <si>
    <t>How do you ensure that flow paths are assigned to services like Office365 while considering NAT and firewall devices?</t>
  </si>
  <si>
    <t>How do you attach a policy map (traffic policy) to an input or output interface?</t>
  </si>
  <si>
    <t>How do you configure QoS pre-classify on an IPv6 IPsec tunnel interface?</t>
  </si>
  <si>
    <t>What is the configuration that enables load balancing for default-class traffic among all external interfaces in the hub master controller?</t>
  </si>
  <si>
    <t>What is the primary mechanism used by PIM-SM to provide reverse-path information for multicast tree building in this network?</t>
  </si>
  <si>
    <t>What is the recommended configuration for associating loopback and virtual interfaces with physical interfaces?</t>
  </si>
  <si>
    <t>What is the recommended Cisco IOS command to implement a QoS policy attached to the DMVPN hub with automatic criteria setup, regulating traffic from hub to spokes on a per-spoke basis?</t>
  </si>
  <si>
    <t>What is the purpose of the `pak_priority` flag in Cisco IOS?</t>
  </si>
  <si>
    <t>Which command(s) should be used to configure Receiver A and Receiver B to join the multicast group at address (192.168.1.2, 232.1.1.1)?</t>
  </si>
  <si>
    <t>How can we enable support for IPv6 in our Cisco router running Cisco IOS XE Denali 16.3.1?</t>
  </si>
  <si>
    <t>How to configure AAA broadcast accounting with support for multiple AAA servers?</t>
  </si>
  <si>
    <t>How can we verify IPv4 multicast forwarding using the Multicast Forwarding Information Base (MFIB) in a Bidir-PIM example with no active sources and no interested receivers?</t>
  </si>
  <si>
    <t>What is the configuration for redistributing internal EIGRP routes into BGP?</t>
  </si>
  <si>
    <t>How can I configure tracking for an interface using an object number?</t>
  </si>
  <si>
    <t>How can I associate a tunnel interface with an IPsec profile in Cisco IOS?</t>
  </si>
  <si>
    <t>How do you configure the RP address on all devices, including the RP device itself?</t>
  </si>
  <si>
    <t>How do you configure an ingress dot1q frame on an interface to bind it to a bridge-domain instance and add a denied MAC address for the service instance?</t>
  </si>
  <si>
    <t>**Question:** What is the NAT66 configuration for stateless prefix translation for outside networks?</t>
  </si>
  <si>
    <t>What is the output of the `Device# show platform hardware qfp active feature nat66 datapath prefix` command used to verify the passed interfaces and stateless NPTv6 prefix configuration on a platform hardware QFP active feature nat66 device?</t>
  </si>
  <si>
    <t>What is the PfR policy configuration for SaaS application on Hub Master Controller?</t>
  </si>
  <si>
    <t>How can we ensure that all PIMv6 anycast RP group members have the same IP addresses and consistent configurations in all RPs?</t>
  </si>
  <si>
    <t>To enable PIM over ATM point-to-multipoint VCs for each multicast group that a receiver joins, what commands can be used in configuration mode?</t>
  </si>
  <si>
    <t>How can you provide unique treatment to different classes of traffic on a physical interface without VLAN tags?</t>
  </si>
  <si>
    <t>What is the value of the NAS-Port-Id attribute in this Cisco VPN configuration?</t>
  </si>
  <si>
    <t>What are the default operation parameters for VoIP UDP jitter measurement using different codecs (g711 mu-Law, g711 A-Law, G.729A) in Cisco IOS?</t>
  </si>
  <si>
    <t>How can we configure a priority entry for scheduling in an ASR 1000 Series Aggregation Services Router?</t>
  </si>
  <si>
    <t>How can you configure your Cisco router to support SIP methods with Domain Name System (DNS) names instead of raw IP addresses?</t>
  </si>
  <si>
    <t>How do you configure VRF-Aware IPsec on a Cisco IOS XE device?</t>
  </si>
  <si>
    <t>What is the requirement for indexing objects in a bulk statistics object list?</t>
  </si>
  <si>
    <t>How do we ensure that the explicit rate is not exceeded in this policy?</t>
  </si>
  <si>
    <t>How can we configure our NAS to host a DHCPv6 server and provide router advertisement messages, while also announcing multiple recursive DNS servers to hosts?</t>
  </si>
  <si>
    <t>What is the police rate for VoIP traffic in the QoS policy active on the session?</t>
  </si>
  <si>
    <t>What is the name of the service policy applied to the output interface in this configuration?</t>
  </si>
  <si>
    <t>How do you schedule an individual IP SLAs operation to run forever, starting immediately, with the option to age out after 1 minute?</t>
  </si>
  <si>
    <t>What protocols can be used to enable communication between traditional terminals and routers?</t>
  </si>
  <si>
    <t>How can we configure our Cisco router to remove the outermost VLAN tag from POP operations</t>
  </si>
  <si>
    <t>What are the key differences between HSRP Version 1 and Version 2 in terms of multicast address used for hello packets, CGMP support, and group number range?</t>
  </si>
  <si>
    <t>How can I enable debugging for EtherChannel component in my Cisco router?</t>
  </si>
  <si>
    <t>To enable SNTP (Simple Network Time Protocol) authentication on a Cisco device, which command would you use?</t>
  </si>
  <si>
    <t>What is the configuration command used to permit traffic from a specific source IPv6 address (2001:DB8:1::2) to a destination IPv6 address (209.165.201.25)?</t>
  </si>
  <si>
    <t>How do you enable HSL for all VPN and non-VPN translations?</t>
  </si>
  <si>
    <t>What is the PfRv3 Path of Last Resort configuration for the current domain?</t>
  </si>
  <si>
    <t>How can we ensure deterministic behavior in priority service when always on policing is enabled?</t>
  </si>
  <si>
    <t>How can you configure the IPsec anti-replay window size and disabling on a Cisco router?</t>
  </si>
  <si>
    <t>How can we configure the SNMP notification log to delete entries older than a specified age and set the maximum number of entries that can be stored in all SNMP notification logs?</t>
  </si>
  <si>
    <t>What are the parameters that can be configured for an inspect-type parameter map in Cisco IOS?</t>
  </si>
  <si>
    <t>What is the priority of the NHS (Non-Stop Forwarding) process in DMVPN-Tunnel Health Monitoring and Recovery?</t>
  </si>
  <si>
    <t>What is the behavior of ICMP redirects when they reach an HSRP device?</t>
  </si>
  <si>
    <t>How can we ensure that RADIUS attribute 44 (Acct-Session-Id) does not overlap among sessions from different NASs?</t>
  </si>
  <si>
    <t>How can I display PfRv3 event tracing for all components (sub-components) in Cisco IOS?</t>
  </si>
  <si>
    <t>How can you configure a VRRP group with IPv4 address family and set the primary address for the group?</t>
  </si>
  <si>
    <t>What command can be used to configure HSRP timers for version 1 and 2, ensuring compatibility with millisecond timer values when specified in the hello time or hold time?</t>
  </si>
  <si>
    <t>What are the precedence range and QoS type for the "priority-class" VC-class configuration?</t>
  </si>
  <si>
    <t>How do you determine if a USB token is supported by Cisco?</t>
  </si>
  <si>
    <t>How can you configure the NAT64 to disable flow cache entries?</t>
  </si>
  <si>
    <t>How do I reconfigure SNMP settings for an existing user to remove the user and set up a new password?</t>
  </si>
  <si>
    <t>What is the first step to set up Secure Device Provisioning (SDP) for enrollment in a Public Key Infrastructure (PKI)?</t>
  </si>
  <si>
    <t>How can you enable privileged EXEC mode and configure an IP NAT pool on a Cisco router?</t>
  </si>
  <si>
    <t>What type of translator uses the corresponding IPv4 addresses to represent the IPv6 hosts?</t>
  </si>
  <si>
    <t>What is the primary goal of introducing a more manageable approach for building multicast distribution trees between multiple domains using MSDP to interconnect Multiple PIM-SM Domains?</t>
  </si>
  <si>
    <t>How do you configure a Cisco router to use only RIP (Routing Information Protocol) Version 1 or Version 2 for receiving and sending packets?</t>
  </si>
  <si>
    <t>What are the address pools configured for TACACS daemon selection, and how is RADIUS authorization implemented on the router?</t>
  </si>
  <si>
    <t>How can we improve the reliability of HSRP by reducing the chance of bunching of HSRP group operations?</t>
  </si>
  <si>
    <t>What are the steps to configure AAA authentication with login and failed-login banners using RADIUS as the default authentication method?</t>
  </si>
  <si>
    <t>What are the police configurations for network traffic policing and QoS in this Cisco router?</t>
  </si>
  <si>
    <t>How can you enable IPv6 processing on an interface and configure an IPv6 address?</t>
  </si>
  <si>
    <t>How do I generate an RSA key pair for creating a trustpoint in Cisco IOS?</t>
  </si>
  <si>
    <t>How can we securely configure and deploy IPsec VPN settings to users?</t>
  </si>
  <si>
    <t>How do we configure routers to respond to Multicast Pings when testing IP multicast reachability using PIM-enabled routers?</t>
  </si>
  <si>
    <t>How do I verify the Direct Cloud Access (DCA) configuration for a specific domain on my Cisco device?</t>
  </si>
  <si>
    <t>What is the BFD interval configured on the device?</t>
  </si>
  <si>
    <t>How can you enable the aggregate port-channel interface for Quality of Service (QoS) on a platform?</t>
  </si>
  <si>
    <t>How can we verify IPv4 multicast forwarding in a PIM-SM network?</t>
  </si>
  <si>
    <t>What are the supported PDU (Protocol Data Unit) Types in Cisco IOS and what actions do they perform?</t>
  </si>
  <si>
    <t>How can you configure application redundancy on a device?</t>
  </si>
  <si>
    <t>How can we configure bandwidth sharing between class data and class default traffic in VLAN100?</t>
  </si>
  <si>
    <t>What is the police cir percent for class AF12 in the given configuration?</t>
  </si>
  <si>
    <t>How can we configure Cisco OpenDNS to prevent DNS queries to our local domain from being redirected to OpenDNS by default?</t>
  </si>
  <si>
    <t>How would you configure traffic policing for the class-default class in the policy-map?</t>
  </si>
  <si>
    <t>What could be the reason for the loss of carrier connection?</t>
  </si>
  <si>
    <t>How do you configure a RADIUS server for a specific group in Cisco IOS?</t>
  </si>
  <si>
    <t>What type of translation support is provided for IPv6-initiated sessions?</t>
  </si>
  <si>
    <t>What is the IP address of the management station that will receive SNMP traps?</t>
  </si>
  <si>
    <t>How can we enable Multicast VPN (mVPN) using PIM and BGP EVPN on our network device?</t>
  </si>
  <si>
    <t>How can we configure MAC address limiting on Service Instances, Bridge Domains, and EVC Port Channels?</t>
  </si>
  <si>
    <t>What is the L2 protocol used in the service instance configured on Ethernet Uni?</t>
  </si>
  <si>
    <t>Does Cisco IOS support inter-chassis asymmetric routing for zone-based firewall and NAT configurations?</t>
  </si>
  <si>
    <t>What is the configuration for the Ethernet CFM CC on the device?</t>
  </si>
  <si>
    <t>How can Router A and Router B be configured to run VRRP in three different groups with specified properties?</t>
  </si>
  <si>
    <t>What is the purpose of the "aaa authorization exec" command in the given configuration?</t>
  </si>
  <si>
    <t>How can we configure the hub router to support multiple spoke routers in a Dynamic Multipoint VPN (DMVPN) architecture without crypto access lists?</t>
  </si>
  <si>
    <t>How can we configure IPsec to work with NAPT (NAT) in a Cisco IOS router?</t>
  </si>
  <si>
    <t>How can I enable and configure the Cisco device's petitioner with a default enabled status and an existing manufacturer's certificate?</t>
  </si>
  <si>
    <t>How can we configure the device as branch-master controller and set up a tunnel interface to connect to R10?</t>
  </si>
  <si>
    <t>How can we configure a voice VLAN on a Cisco switch?</t>
  </si>
  <si>
    <t>What is the configuration command used to configure static translation of an inside IP address to an outside IP address for overlapping networks?</t>
  </si>
  <si>
    <t>How can we configure SIP ALG resilience to DoS attacks on the device?</t>
  </si>
  <si>
    <t>How do you enable MAC security on the service instance?</t>
  </si>
  <si>
    <t>What is the effect of enabling the "tcp half-open reset" command in Cisco IOS?</t>
  </si>
  <si>
    <t>How to introduce a new device to the secure network and authorize it using a Registrar server?</t>
  </si>
  <si>
    <t>How can we collect data on app-health metrics from Cisco Mediatrace for monitoring network performance?</t>
  </si>
  <si>
    <t>What is the address of the ISAKMP peer in this crypto configuration?</t>
  </si>
  <si>
    <t>How do you configure a Cisco router to implement different policies for certificate requests from two Certificate Authorities (CAs) in the same hierarchy?</t>
  </si>
  <si>
    <t>How can we configure the access server to dial out with IP protocol?</t>
  </si>
  <si>
    <t>What are the necessary steps to configure PIMv6 Anycast RP and PIM anycast-rp on two devices (Device1 and Device2)?</t>
  </si>
  <si>
    <t>What is the default MSRPC ALG support configuration when NAT is enabled?</t>
  </si>
  <si>
    <t>How can we configure the modem dial-in call setup sequence to ensure that the call disconnects before user authentication occurs, without resource failure, when AAA resource accounting for start-stop records is used?</t>
  </si>
  <si>
    <t>What is the primary mechanism used in neighbor authentication to ensure the authenticity of routing updates?</t>
  </si>
  <si>
    <t>What is the correct Cisco IOS command to update the SAF peering site prefix at 10.20.1.1 with the given prefixes?</t>
  </si>
  <si>
    <t>How do you artificially extend the lifetime of a certificate in Cisco IOS configuration using the cert-lifetime-end AV pair?</t>
  </si>
  <si>
    <t>What is the policing configuration for P2P traffic?</t>
  </si>
  <si>
    <t>How can you configure the maximum number of connections for an NHS (Next Hop Resolution) cluster in Cisco IOS?</t>
  </si>
  <si>
    <t>How can we configure IEEE 802.3ad Link Bundling for Gigabit EtherChannel to ensure all LAN ports in each EtherChannel are the same speed?</t>
  </si>
  <si>
    <t>How can I enable privileged EXEC mode on a router and configure it to display network masks in hexadecimal format?</t>
  </si>
  <si>
    <t>What is the configuration for unicast routing for IPv6 traffic on this Cisco device?</t>
  </si>
  <si>
    <t>How can you configure TACACS+ server group "default-group" to associate a server and set up DNIS mapping for RADIUS server groups?</t>
  </si>
  <si>
    <t>Question: What command can be used to configure SSM filtering for legacy RP routers that do not support SSM routing?</t>
  </si>
  <si>
    <t>How is the AAA authentication configured to allow guest logins through ARAP and use RADIUS as a backup method?</t>
  </si>
  <si>
    <t>What is the policy map configuration for user1-ACL?</t>
  </si>
  <si>
    <t>What is the correct syntax to set a primary IP address for an interface in Cisco IOS?</t>
  </si>
  <si>
    <t>How can we secure the AAA Double Authentication mechanism in our network connections?</t>
  </si>
  <si>
    <t>How do we configure cross-checking on an inward-facing MEP (U-PE A) in our Ethernet CFM domain?</t>
  </si>
  <si>
    <t>How to configure the GRE multipoint mode tunnel from BR84 to DMVPN2 (INET) with a key of 200?</t>
  </si>
  <si>
    <t>What is the command to set the timeout value for an FTP SLA operation in Cisco's IP Service Level Agreement (IP SLAs) configuration?</t>
  </si>
  <si>
    <t>What command can you use to configure a port for Link Fault RFI Support by putting it into a blocking state when an OAM PDU control request packet is received with the Link Fault Status flag set?</t>
  </si>
  <si>
    <t>What is the configuration to create a service instance on an interface and configure matching criteria, encapsulation, binding to a bridge-domain instance, and violation mode?</t>
  </si>
  <si>
    <t>How can we ensure that the initiating router does not have a certificate associated with the remote peer for ISAKMP negotiation?</t>
  </si>
  <si>
    <t>How can we enable and configure a common CHAP secret password for a collection of routers?</t>
  </si>
  <si>
    <t>How do you configure the Certificate Chain Validation from Peer to Subordinate CA in Cisco IOS?</t>
  </si>
  <si>
    <t>What are the two settings used to configure IP IGMP Snooping with explicit tracking limit and last-member-query-count in Cisco IOS?</t>
  </si>
  <si>
    <t>What is the necessary configuration to support interchassis asymmetric routing when using zone-based firewalls and NAT?</t>
  </si>
  <si>
    <t>How do you configure a VLAN to map it to a bridge domain in Cisco IOS?</t>
  </si>
  <si>
    <t>How can we configure Dynamic Port Address Carrier Grade NAT (PAT) to map multiple unregistered IP addresses to a single registered IP address using different ports?</t>
  </si>
  <si>
    <t>How can we export an RSA key pair in PEM-formatted files from Cisco IOS?</t>
  </si>
  <si>
    <t>How can you enable Simple Network Time Protocol (SNTP) on Cisco devices?</t>
  </si>
  <si>
    <t>How do you enter the security zone configuration mode and exit it to enter global configuration mode?</t>
  </si>
  <si>
    <t>What is the correct PIM Group-to-RP mapping configuration for Source B to use RP 192.168.254.6?</t>
  </si>
  <si>
    <t>How do you configure the incoming and outgoing interfaces for multicast routing with PIM-SM or SSM on a Cisco router?</t>
  </si>
  <si>
    <t>What type of interface are we configuring, and what is the specific interface ID?</t>
  </si>
  <si>
    <t>What is required to maintain the switching cache of connected Layer 2 devices on the LAN?</t>
  </si>
  <si>
    <t>What is the recommended Diffie-Hellman (DH) group size for protecting IPsec keys during negotiation?</t>
  </si>
  <si>
    <t>How can you configure the AAA (Authentication, Authorization, and Accounting) system to update periodically with a specific number of keyword arguments?</t>
  </si>
  <si>
    <t>How do you configure redundancy for VPWS (Virtual Private Wire Service) on Cisco IOS?</t>
  </si>
  <si>
    <t>How do we implement Weighted Random Early Detection (WRED) in a network device to determine the appropriate drop probability based on packet type?</t>
  </si>
  <si>
    <t>What is the configuration for creating a GRE tunnel with multiple points?</t>
  </si>
  <si>
    <t>How do you configure Quality of Service (QoS) scheduling on a physical interface to ensure that applications receive the necessary treatment when congestion exists?</t>
  </si>
  <si>
    <t>How can you configure an L2TP tunnel on a Cisco router to connect to a server with IP medium?</t>
  </si>
  <si>
    <t>What is the necessary configuration command to implement site-to-site VPN using Cisco's Network-Based IPsec VPN Solution for VPN2?</t>
  </si>
  <si>
    <t>What is the first step in configuring PKI support at a Cisco router?</t>
  </si>
  <si>
    <t>How can you configure NAT settings for multiple VPNs in Cisco IOS?</t>
  </si>
  <si>
    <t>What is the configuration for auto-enrolling certificates in Cisco IOS?</t>
  </si>
  <si>
    <t>How can you configure static site prefix lists for hub and transit sites in Cisco IOS?</t>
  </si>
  <si>
    <t>How do you configure Frame Relay custom queueing for virtual circuits in Cisco IOS?</t>
  </si>
  <si>
    <t>What are the requirements for configuring HSRP (Hot Standby Router Protocol) with BFD (Bidirectional Forwarding Detection) on a simple network with two devices?</t>
  </si>
  <si>
    <t>How can we establish a direct crypto tunnel with another DMVPN client, leveraging the per-tunnel QoS policy?</t>
  </si>
  <si>
    <t>How do I configure the MD5 password authentication for MSDP (Multicast Source Discovery Protocol) on my Cisco router?</t>
  </si>
  <si>
    <t>What is the command to configure an unreachable interval for a specific type of event in Cisco IOS?</t>
  </si>
  <si>
    <t>How can you enable stateful packet inspection on a device using Cisco IOS XE?</t>
  </si>
  <si>
    <t>How do I add a description to an interface configuration in Cisco IOS?</t>
  </si>
  <si>
    <t>What are the two separate profiles used in this IPsec VPN setup?</t>
  </si>
  <si>
    <t>How can we set the ATM CLP (Class Level Protocol) bit using a policer in our policy-map configuration?</t>
  </si>
  <si>
    <t>What is the correct configuration to set the device as transit-hub master controller and border router (BR94), and what are the IP addresses for Loopback0 interface?</t>
  </si>
  <si>
    <t>What is an example of how to configure hierarchical color-aware policing in Cisco IOS XE Release 3.2S or later?</t>
  </si>
  <si>
    <t>What is the purpose of setting the PfRv3 Fallback Timer in Cisco IOS?</t>
  </si>
  <si>
    <t>How to configure the interface and tunnel path on R11 with specific settings for NHRP authentication and IP MTU?</t>
  </si>
  <si>
    <t>What is the recommended configuration to support fast failover in a LAN-LAN topology without introducing a dependency on routing protocol convergence?</t>
  </si>
  <si>
    <t>How can we configure a Cisco device to handle PGM (Protocol Independent Multicast) transport data for multiple sources sending traffic to multiple receivers in a network?</t>
  </si>
  <si>
    <t>What is the effect of configuring "zone security public" under the device configuration?</t>
  </si>
  <si>
    <t>How do I display information about a specific protocol pack in Cisco IOS?</t>
  </si>
  <si>
    <t>How can we configure the minimum bandwidth guarantee for class critical-data in VLAN100 to ensure it does not starve other classes of service?</t>
  </si>
  <si>
    <t>How do you configure a management interface to allow HTTPS connections?</t>
  </si>
  <si>
    <t>How can we filter BGP next hop neighbors discovered by the LSP Health Monitor using standard IP access lists?</t>
  </si>
  <si>
    <t>How can you prevent IPsec anti-replay attacks by modifying the default window size?</t>
  </si>
  <si>
    <t>How can you configure traffic classes in your Cisco network?</t>
  </si>
  <si>
    <t>What is the recommended configuration for supporting multiple CAs in our PKI infrastructure?</t>
  </si>
  <si>
    <t>How can we configure HSRP Object Tracking to change the HSRP priority based on the state of a tracked object?</t>
  </si>
  <si>
    <t>How do you enable BFD (Bidirectional Forwarding Detection) for failure detection on the control interface with the failover protocol?</t>
  </si>
  <si>
    <t>What ensures that the ESP configuration matches on both active and standby devices in a Cisco network?</t>
  </si>
  <si>
    <t>What configuration option can be used to enable VPN routing and forwarding (VRF)-aware NAT in a multihoming setup with redundant or standby exit points?</t>
  </si>
  <si>
    <t>What are the specific conditions that trigger a dying gasp (AIS) generation on a Cisco router?</t>
  </si>
  <si>
    <t>What is the frequency of sending Link Fault failure conditions in an Ethernet OAM system?</t>
  </si>
  <si>
    <t>What configuration command would you use to define an ISAKMP profile and audit IPsec user sessions?</t>
  </si>
  <si>
    <t>How do you enable the AAA access control model to set the maximum number of unsuccessful attempts before lockout and configure the default AAA authentication method?</t>
  </si>
  <si>
    <t>What is the configuration command to establish a GRE multipoint tunnel with IPSec protection using the DMVPN-PROFILE1 profile on a Cisco router?</t>
  </si>
  <si>
    <t>How to enable NAT on an interface and configure it as an inside network?</t>
  </si>
  <si>
    <t>How can I enable BFD (Bidirectional Forwarding Detection) PIM (Protocol Independent Multicast) support on an interface?</t>
  </si>
  <si>
    <t>How do you configure Cisco IOS to exclude the inclusion of a serial number in a certificate request?</t>
  </si>
  <si>
    <t>How can I configure firewall session table protection for a VRF (Virtual Routing and Forwarding) domain?</t>
  </si>
  <si>
    <t>How can we enable IPv6 on an interface and configure its IPv6 address and prefix length?</t>
  </si>
  <si>
    <t>When processing an incoming (*, G) Join in a PIM-enabled network, how can we ensure that receiving devices use their own RP if it differs from the one specified in the join message?</t>
  </si>
  <si>
    <t>How can we set an upper limit for the number of secured MAC addresses in a bridge domain?</t>
  </si>
  <si>
    <t>How can you enable CGN operating mode on a Cisco device and define a standard access list with a host?</t>
  </si>
  <si>
    <t>How can I configure IP multicast dynamic NAT on my Cisco router?</t>
  </si>
  <si>
    <t>How can we set the ISAKMP identity for each peer using preshared keys in an IKE policy?</t>
  </si>
  <si>
    <t>How can you exit the global configuration mode and return to privileged EXEC mode?</t>
  </si>
  <si>
    <t>How does the Standby Route Processor (RP) ensure redundancy in reducing unplanned downtime during switchover events?</t>
  </si>
  <si>
    <t>How can you associate a VRF instance with an interface or subinterface in Cisco IOS?</t>
  </si>
  <si>
    <t>How can we enable forwarding using the Multicast Fast Inter-Domain Routing (MFIB) protocol in bidirectional multicast PIM networks?</t>
  </si>
  <si>
    <t>What is an example of configuring a zone pair in a security zone?</t>
  </si>
  <si>
    <t>How can you configure a secondary IP address on an interface?</t>
  </si>
  <si>
    <t>How do you enable and configure per-VRF Aggressive Aging on a Cisco router?</t>
  </si>
  <si>
    <t>How can you enable Ethernet OAM (Opaque Action Message) on an interface?</t>
  </si>
  <si>
    <t>How do you configure the certificate map and trustpoint for VPN-GW on the central site router?</t>
  </si>
  <si>
    <t>How can we ensure that the ifIndex value persists across reboots and maintain a consistent correspondence between ifIndex values and interfaces?</t>
  </si>
  <si>
    <t>Which Cisco platforms support IPv6 RIPng enhancements?</t>
  </si>
  <si>
    <t>How do you enable communication with the TACACS+ security server and configure NASI authentication using a group?</t>
  </si>
  <si>
    <t>How can we enable Bidirectional Forwarding Detection (BFD) for all interfaces participating in the routing process?</t>
  </si>
  <si>
    <t>How can we display the contents of the IPv6 multicast routing table?</t>
  </si>
  <si>
    <t>How can we configure IP SLAs to proactively monitor VoIP network conditions and trigger alerts when certain thresholds are exceeded?</t>
  </si>
  <si>
    <t>What is the configuration for voice-to-IP list in Cisco IOS to prioritize voice traffic and account for QoS policy?</t>
  </si>
  <si>
    <t>How can we deploy IPv6 Source Specific Multicast (SSM) with hosts that are incapable of providing MLD version 2 support in their TCP/IP host stack and IP multicast receiving application?</t>
  </si>
  <si>
    <t>How can I enable Ethernet Performance Monitoring on untagged EFPs in my Cisco network?</t>
  </si>
  <si>
    <t>How do I enable IPsec peer for IKE querying of AAA for tunnel attributes in aggressive mode and enter ISAKMP policy configuration mode?</t>
  </si>
  <si>
    <t>How can we configure an Umbrella (OpenDNS) instance to bypass DNS resolution for a specific domain?</t>
  </si>
  <si>
    <t>** How do you configure VRF-Aware Dynamic NAT Mapping with HSRP in Cisco IOS?</t>
  </si>
  <si>
    <t>How can you configure the scheduling parameters for an individual IP SLAs operation?</t>
  </si>
  <si>
    <t>How can we set the number of lives maintained in the history table for an IP SLAs operation?</t>
  </si>
  <si>
    <t>How do you configure Anycast RP with a single address to achieve faster IP routing convergence towards the closest RP?</t>
  </si>
  <si>
    <t>What is the DNS timeout value configured for the Inspect Parameter Map?</t>
  </si>
  <si>
    <t>How can you configure DHCPv6 to acquire prefixes from an AAA server?</t>
  </si>
  <si>
    <t>How can we configure IP Service Level Agreements (SLAs) to measure the difference between the time taken to send a DNS request and receive a reply?</t>
  </si>
  <si>
    <t>How can we configure the Zero SLA feature to meet the SLA support for Performance Routing v3?</t>
  </si>
  <si>
    <t>How can I display VRF-level policy firewall statistics?</t>
  </si>
  <si>
    <t>What is the default cryptographic hash function for self-signed certificates on a Cisco IOS XE client?</t>
  </si>
  <si>
    <t>How can we assign unique identification numbers starting with the number 1 for MPLS VPN core network for BGP next hop neighbor assignment?</t>
  </si>
  <si>
    <t>How do you configure a port channel and its interface?</t>
  </si>
  <si>
    <t>How can we configure our network to handle multiple TV channels being sent from a single server, each to a separate IP multicast group?</t>
  </si>
  <si>
    <t>What is the IP address configured for the Virtual Router Redundancy Service (VRRP)?</t>
  </si>
  <si>
    <t>How do I configure a device to become a registrar for the SDP exchange and specify the certificate server associated with it?</t>
  </si>
  <si>
    <t>What is the primary consideration when configuring a port-channel in Cisco IOS?</t>
  </si>
  <si>
    <t>How do we ensure secure communication between overlapping addresses in customer sites when extending an MPLS network to a new region over the internet?</t>
  </si>
  <si>
    <t>How can I configure traffic shaping to limit the amount of bandwidth used by a specific protocol or application on an interface?</t>
  </si>
  <si>
    <t>What DSCP value are you assigning to mark up admitted flow and mark down un-admitted flow for improved priority handling?</t>
  </si>
  <si>
    <t>What is the configured policing policy for traffic arriving at GigabitEthernet1/0/0 in the "hardware-example" policy set?</t>
  </si>
  <si>
    <t>What is the maximum length of a password required by the AAA security configuration with the common criteria policy?</t>
  </si>
  <si>
    <t>What configuration is required to reduce the VRRP priority when the serial interface goes down?</t>
  </si>
  <si>
    <t>How do you set the Layer 2 class of service (CoS) value for outgoing packets?</t>
  </si>
  <si>
    <t>What are the steps to restore the PKCS12 archive and configure the database URL as NVRAM (default) on a Cisco device?</t>
  </si>
  <si>
    <t>What is the recommended polling interval for specified instances in Cisco IOS?</t>
  </si>
  <si>
    <t>What is the purpose of the "aaa new-model" command in this configuration?</t>
  </si>
  <si>
    <t>How do I enable auto mode on Auto-IP ring ports?</t>
  </si>
  <si>
    <t>How can we configure NPTv6 Translators to map multiple external addresses to a common internal address in a multihoming network?</t>
  </si>
  <si>
    <t>How do we implement Secure Device Provisioning (SDP) over a web browser for the given configuration?</t>
  </si>
  <si>
    <t>How can we configure the default TCP timeout and address translation timeouts on a Cisco router?</t>
  </si>
  <si>
    <t>How can you enable double authentication for accessing user profiles with AAA reauthentication on Cisco router?</t>
  </si>
  <si>
    <t>How can I enable and configure the Flexible NetFlow exporter to report extracted fields through the sub-application table?</t>
  </si>
  <si>
    <t>How can you attach an interface to a security zone?</t>
  </si>
  <si>
    <t>What is the current IGMP snooping counter status for the specified bridge domain (BD) with ID `bd-id`?</t>
  </si>
  <si>
    <t>How do you configure the virtual IP address for at least one device in the group for HSRP election?</t>
  </si>
  <si>
    <t>How can you configure class maps to classify FastTrack and Gnutella traffic using regular expression variables in Cisco IOS?</t>
  </si>
  <si>
    <t>What is the current setting for the refresh interval in an MPLS discovery VPN configuration?</t>
  </si>
  <si>
    <t>How can we modify the `config command` template to send additional device information to an external management system using HTTP or HTTPS protocol?</t>
  </si>
  <si>
    <t>How can you configure the idle timer to monitor SAs for activity and delete SAs for idle peers in a Cisco router?</t>
  </si>
  <si>
    <t>What are the necessary steps to re-enroll the crypto pki certificate for the router?</t>
  </si>
  <si>
    <t>What is the purpose of the BFD Single-Hop Authentication feature in Cisco IOS?</t>
  </si>
  <si>
    <t>What are the LACP parameters for the multichassis group 100?</t>
  </si>
  <si>
    <t>How can we enable HSRP MIB trap support for HSRP BFD Peering?</t>
  </si>
  <si>
    <t>How can we configure the Cisco router to send SNMP traps when the round-trip time (RTT) threshold is exceeded?</t>
  </si>
  <si>
    <t>How do you enhance security on network by uniquely configuring individual TACACS+ connections?</t>
  </si>
  <si>
    <t>How can we terminate a session without disabling the host port and reinitializing the authenticator state machine for the specified host?</t>
  </si>
  <si>
    <t>What is the default anti-replay window size for IPsec connections to which specific IP addresses?</t>
  </si>
  <si>
    <t>How do you enable privileged EXEC mode and configure MPLS for encapsulation in a pseudowire class?</t>
  </si>
  <si>
    <t>How do you configure a basic HTTP GET operation on the source device to retrieve data from a specific URL?</t>
  </si>
  <si>
    <t>How can we configure multiple HSRP groups with different priority and preemption values to enable load balancing on devices?</t>
  </si>
  <si>
    <t>What is the transmit rate limit for traffic that exceeds the configured policing action in this scenario?</t>
  </si>
  <si>
    <t>How do you configure a remote user for an SNMP agent on a Cisco device?</t>
  </si>
  <si>
    <t>How can we modify the Maximum Segment Size (MSS) value for IP TCP packets?</t>
  </si>
  <si>
    <t>What type of IP address is used for routing traffic during a redundancy group failover?</t>
  </si>
  <si>
    <t>What is the recommended configuration for enabling mLACP feature with LACP state machine for a dual-homed topology in compliance with IEEE 802.3ad standard?</t>
  </si>
  <si>
    <t>How do you configure the default Virtual Routing and Forwarding (VRF) instance for the default domain?</t>
  </si>
  <si>
    <t>How can I configure an inspect parameter map in Cisco IOS?</t>
  </si>
  <si>
    <t>What is the duplex mode configured on the Ethernet interface?</t>
  </si>
  <si>
    <t>How do I return to privileged EXEC mode from the current CLI mode?</t>
  </si>
  <si>
    <t>What happens to the selection of active/standby links when a PoA with a virtual LACP instance is used in conjunction with a DHD, given that the system priority value of the virtual LACP instance is set lower than the DHD's system priority?</t>
  </si>
  <si>
    <t>How can we configure static IPv6 routes for a user with two different prefixes?</t>
  </si>
  <si>
    <t>How can we define a pool of network addresses for NAT in Cisco IOS?</t>
  </si>
  <si>
    <t>What are the details of the INET master channel with Channel ID 25?</t>
  </si>
  <si>
    <t>How do you configure the tunnel interface and path from R12 to establish a VPN connection?</t>
  </si>
  <si>
    <t>What is the purpose of the "zero touch auto-IP" feature in an Auto-IP ring configuration?</t>
  </si>
  <si>
    <t>How can we limit the throughput of an individual subscriber while still allowing some bandwidth to remain available in the parent policy?</t>
  </si>
  <si>
    <t>What is the encryption algorithm used for VPN2?</t>
  </si>
  <si>
    <t>What command can be used to define core-facing interfaces for each redundancy group using explicit configuration in Cisco IOS?</t>
  </si>
  <si>
    <t>How can I extend the maximum description length for SNMP MIB descriptions to exceed 64 characters?</t>
  </si>
  <si>
    <t>How do we configure an SNMP agent to only accept SNMP requests from a specific set of VPNs?</t>
  </si>
  <si>
    <t>How do you enable PIM on an interface and configure it to use sparse mode?</t>
  </si>
  <si>
    <t>What are the rate types for virtual circuits (VC) that can be configured in Cisco IOS?</t>
  </si>
  <si>
    <t>How do you enable MPLS discovery VPN Next-Hop using the auto ip sla mpls-lsp-monitor command?</t>
  </si>
  <si>
    <t>How can you configure an administrative introducer with the authentication list "authen-tac" and the authorization list "author-tac"?</t>
  </si>
  <si>
    <t>What are the allowed authentication schemes for GLBP (Generic Link Fault Protocol) when configuring it on a Cisco device?</t>
  </si>
  <si>
    <t>What is the command to specify a trustpoint for SDP exchange between petitioner and registrar?</t>
  </si>
  <si>
    <t>What is the recommended setup for configuring the role of a device in PfRv3?</t>
  </si>
  <si>
    <t>How do you create a protocol-specific inspect type policy map and enter QoS policy-map configuration mode?</t>
  </si>
  <si>
    <t>What is the purpose of the "ip mroute" command in this configuration, and how does it ensure a successful RPF (Reverse Path Forwarding) check for packets flowing from the source?</t>
  </si>
  <si>
    <t>How do you create a PVC on ATM interface ATM1/1/0.46 and apply the WRED parameter group called "sanjose" to that PVC?</t>
  </si>
  <si>
    <t>How do you configure QoS hierarchical queueing policy maps on sessions with multiple PPP/IP sessions per subscriber line using aggregate shaping?</t>
  </si>
  <si>
    <t>How can we configure a PKI token using USB token0 and set the maximum retries to 20?</t>
  </si>
  <si>
    <t>What is the issue that may occur when NBAR (Network-Based Application Recognition) is enabled on Citrix protocol with "app" subclassification on VRF (Virtual Routing and Forwarding) interfaces?</t>
  </si>
  <si>
    <t>What is the correct way to enable Distributed Cisco Express Forwarding (dCEF) on a router with Versatile Interface Processor (VIP)?</t>
  </si>
  <si>
    <t>What type of MAC address does the active virtual gateway (AVG) assign to each GLBP group member?</t>
  </si>
  <si>
    <t>What is the significance of using a 31-bit subnet mask in point-to-point networks, and how does it enable the assignment of all-zeros and all-ones IP addresses as host addresses?</t>
  </si>
  <si>
    <t>How do I configure my router to recognize RA certificate requests from enrollment request databases with an organizational unit "ou=ioscs RA" in the subject name?</t>
  </si>
  <si>
    <t>What happens if you attach a policy-map to a logical interface on an ASR 1k Series Aggregation Service Router?</t>
  </si>
  <si>
    <t>How can I enable OCSP (Online Certificate Status Protocol) instead of CRLs (Certificate Revocation Lists) for checking certificate status in my Cisco device?</t>
  </si>
  <si>
    <t>What is the minimum receive (min_rx) value that needs to be set for BFD configuration on the router?</t>
  </si>
  <si>
    <t>How do you configure a PPPoE profile (e.g., bba-group) for the PPPoE sessions on an interface?</t>
  </si>
  <si>
    <t>What is the configuration for the multicast routing mode on Serial1/0 interface?</t>
  </si>
  <si>
    <t>Is IP Fast Switching enabled for multicast traffic?</t>
  </si>
  <si>
    <t>How do you set encapsulation to untagged on a device interface?</t>
  </si>
  <si>
    <t>How do we perform subport classification of Citrix traffic based on the published application name or ICA tag number?</t>
  </si>
  <si>
    <t>What is the recommended release version for enabling the Reliable Delivery and Filtering for Syslog feature on a Cisco device?</t>
  </si>
  <si>
    <t>How to configure Class Maps and Policy Maps for Object Groups in Cisco IOS?</t>
  </si>
  <si>
    <t>How to enable IPv6 address and Stateful NAT64 translation on an interface?</t>
  </si>
  <si>
    <t>What is the configuration command to apply QoS settings to the `class-default` class in the `session-a-child` policy map?</t>
  </si>
  <si>
    <t>How can we optimize the handling of child routes in the RIP routing table?</t>
  </si>
  <si>
    <t>How do you configure the rate for monitoring metrics in Cisco Performance Monitor using an existing Flow Monitor?</t>
  </si>
  <si>
    <t>What is the purpose of monitoring the Max Active Session Count in Cisco devices?</t>
  </si>
  <si>
    <t>What IP address configuration is required to connect the interface to the inside network, which is subject to NAT?</t>
  </si>
  <si>
    <t>How can we configure the router to forward Dot1Q encapsulated packets on an Ethernet interface while considering AAL5-Mux 14-83 routed encapsulation and ATM network considerations?</t>
  </si>
  <si>
    <t>What is the configuration for implementing a common criteria security policy with specific parameters on a user profile in Cisco IOS?</t>
  </si>
  <si>
    <t>What is the service type value for callback-based login services?</t>
  </si>
  <si>
    <t>How do we detect the presence of a NAT device in a network path?</t>
  </si>
  <si>
    <t>What is the configuration required to allow trees in a Cisco network to scale to an arbitrary number of sources?</t>
  </si>
  <si>
    <t>What is the best approach to include only the portion of the URL that follows the "www" hostname in the match statement for classification?</t>
  </si>
  <si>
    <t>What are the steps to create two security zones and apply them as a zone pair (source and destination zones) in Cisco IOS?</t>
  </si>
  <si>
    <t>How do I configure an Application-Level Gateway (ALG) with Network Address Translation (NAT) to handle HTTP traffic?</t>
  </si>
  <si>
    <t>How can you enable IP SLA and configure an ICMP Echo operation with a specific source IP, destination IP, and repeat rate?</t>
  </si>
  <si>
    <t>What is the order of specific to less specific match criteria in the "my-test-cmap" class map?</t>
  </si>
  <si>
    <t>What is the command to define a DHCP operation in IP SLA?</t>
  </si>
  <si>
    <t>What is the new maximum threshold for WRED (Weighted Random Early Detection) to provide preferential treatment to af11 over af12 under congestion?</t>
  </si>
  <si>
    <t>How do I delete a certificate server from my PKI configuration?</t>
  </si>
  <si>
    <t>How to configure a seed port for IPv4 Ring?</t>
  </si>
  <si>
    <t>How can we enable IGMP Proxy in a Unidirectional Link Routing (UDLR) environment for hosts not directly connected to a downstream router, allowing them to join a multicast group sourced from an upstream network?</t>
  </si>
  <si>
    <t>How can we monitor the RTP video monitoring metric in Cisco IOS?</t>
  </si>
  <si>
    <t>What is the protocol used for VPDN group configuration?</t>
  </si>
  <si>
    <t>What is the multicast group mode used in this configuration to establish a loop-free spanning tree topology?</t>
  </si>
  <si>
    <t>How do you configure the PfRv3 fallback timer?</t>
  </si>
  <si>
    <t>How to configure a routing network for Stateless NAT64 translation?</t>
  </si>
  <si>
    <t>How to enable Bidirectional Forwarding Detection (BFD) on Router B for BGP network?</t>
  </si>
  <si>
    <t>What is the IP address configured for the HSRP group in standby mode?</t>
  </si>
  <si>
    <t>What is the configuration required to create a multicast group on Loopback0 and FastEthernet3/1 interfaces?</t>
  </si>
  <si>
    <t>What is the limitation of Application-Level Gateway (ALG) support for firewall and NAT in this configuration?</t>
  </si>
  <si>
    <t>How can we enable the IGMPv3 host stack for Source Specific Multicast (SSM) deployments in environments where fast channel change is required?</t>
  </si>
  <si>
    <t>How do you enter Ethernet service configuration mode to configure an Ethernet service instance on an interface?</t>
  </si>
  <si>
    <t>How do you remove a QoS policy-map from an interface?</t>
  </si>
  <si>
    <t>How can you enable dead-server detection in your Cisco router's AAA configuration?</t>
  </si>
  <si>
    <t>How can you ensure that routing fails over to an mGRE interface when the point-to-point (P2P) interface is down?</t>
  </si>
  <si>
    <t>What is the primary purpose of implementing Control Plane Protection (CoPP) feature in Cisco IOS routers and switches?</t>
  </si>
  <si>
    <t>How can you ensure that the Certificate Revocation List (CRL) is available from the updated location specified through the `cdp-url` command?</t>
  </si>
  <si>
    <t>How can I enable and configure IGMPv3 Host Stack on a network device?</t>
  </si>
  <si>
    <t>What is the IP address configured on the Loopback2 interface?</t>
  </si>
  <si>
    <t>How can you configure an AAA server to use the full distinguished name (DN) as the corresponding username in Cisco IOS software?</t>
  </si>
  <si>
    <t>What configuration steps are needed to enable Sun RPC ALG support for firewall and NAT?</t>
  </si>
  <si>
    <t>How can I configure channel-based metrics measurement in Cisco IOS XE Gibraltar 16.11.1 or later?</t>
  </si>
  <si>
    <t>What is the PPoE component type for NAS IP?</t>
  </si>
  <si>
    <t>How do you remove the previously configured IP address from an interface?</t>
  </si>
  <si>
    <t>How do you configure IP SLAs to monitor DNS resolution with optional parameters?</t>
  </si>
  <si>
    <t>What are the configuration commands to set the hostname for each router (RouterA and RouterB) in HSRP setup?</t>
  </si>
  <si>
    <t>What are the necessary GRE multipoint tunnel configuration settings on R10 to establish a secure and optimized tunnel with specific parameters?</t>
  </si>
  <si>
    <t>What is the expected output of UDP jitter operation with one-way delay measurements in our network configuration?</t>
  </si>
  <si>
    <t>How do you enable and configure a privileged EXEC mode to create a service instance with Ethernet type and set matching criteria for ingress dot1q frames?</t>
  </si>
  <si>
    <t>What is the MPLS L2Transport VC configuration for virtual circuit ID 2?</t>
  </si>
  <si>
    <t>What is the configuration required to support Sun RPC program numbers and pass through packets that match Port Mapper Protocol well-known port (111) without Layer 7 inspection?</t>
  </si>
  <si>
    <t>How can we configure our Cisco router to support VASI interfaces over IPv6 firewalls and apply services such as ACLs, NAT, policing, and zone-based firewalls to traffic that flows across two different VRF instances?</t>
  </si>
  <si>
    <t>How can we configure the device to include EKU attributes in the PKI server?</t>
  </si>
  <si>
    <t>How can we configure a priority queueing mechanism to manage traffic from all networking protocols, with fine-tuning available for IP and packet size boundaries?</t>
  </si>
  <si>
    <t>What type of periodic RAs are sent for the HSRP virtual IPv6 link-local address when the HSRP group is active?</t>
  </si>
  <si>
    <t>What is the overhead accounting configuration for priority classes with policing in the child policy map?</t>
  </si>
  <si>
    <t>How to configure the Source Interface Selection for Outgoing Traffic with Certificate Authority for all outgoing TCP connections associated with a trustpoint in Cisco IOS?</t>
  </si>
  <si>
    <t>What are the severity levels available in Cisco system logging process?</t>
  </si>
  <si>
    <t>How is NAT configured to allow internal users access to the internet through a pool of addresses (net-208)?</t>
  </si>
  <si>
    <t>How can we transport the USB token to a remote location and use its configuration files to provision the local device?</t>
  </si>
  <si>
    <t>How can we ensure that information loss is avoided when establishing a PDP context with multiple AAA servers?</t>
  </si>
  <si>
    <t>What command is used to attach a traffic policy to the EVC?</t>
  </si>
  <si>
    <t>How can we configure the tunnel from BR94 to DMVPN1 with the specified parameters?</t>
  </si>
  <si>
    <t>What is the requirement for the service instance to operate correctly in Pseudo mLACP port channel?</t>
  </si>
  <si>
    <t>What is the IP NAT pool configuration to map internal IP addresses to external ones?</t>
  </si>
  <si>
    <t>How can we configure two ranges of IP addresses for one IP address pool in Cisco IOS?</t>
  </si>
  <si>
    <t>What is the encapsulation protocol used in this channel?</t>
  </si>
  <si>
    <t>How do we ensure that the physical bandwidth available exceeds the sum of all priority class policers in a child schedule that receives bandwidth from a parent schedule?</t>
  </si>
  <si>
    <t>What Cisco command is used to ensure that interchassis high availability configuration on an active device and standby devices are identical?</t>
  </si>
  <si>
    <t>How can you enable and configure LLDP-MED on a network interface in Cisco IOS?</t>
  </si>
  <si>
    <t>How can we optimize the performance of our multicast network by improving the group-to-RP mapping cache lookup?</t>
  </si>
  <si>
    <t>How can we reduce delay and improve latency in traffic delivery for different classes of traffic in a network?</t>
  </si>
  <si>
    <t>How do you enable MSRPC ALG support for firewall and NAT configurations?</t>
  </si>
  <si>
    <t>How do you configure the GLBP group weighting thresholds to ensure automatic adjustments based on interface states?</t>
  </si>
  <si>
    <t>How do you enable IP multicast routing and configure PIM sparse mode on an interface connected to hosts?</t>
  </si>
  <si>
    <t>How do you configure a Multi-Protocol Label Switching (MPLS) Traffic Engineering (TE) label switched path (LSP) for a bridge domain?</t>
  </si>
  <si>
    <t>** What is the command used to configure IP routing for VRF "shop" and NAT settings?</t>
  </si>
  <si>
    <t>How can you configure BFD support for OSPF on interfaces using the `bfd all-interfaces` command in router configuration mode?</t>
  </si>
  <si>
    <t>What is the default behavior of the auto-swap technique in auto-IP configuration?</t>
  </si>
  <si>
    <t>How can we configure the synchronous timeout or aging time on a TCP device for SYN request reception?</t>
  </si>
  <si>
    <t>How to configure IKE policy at each peer participating in the IKE exchange on Cisco IOS devices?</t>
  </si>
  <si>
    <t>How does NHRP control the state of an interface when all NHSs configured on it are in the down state?</t>
  </si>
  <si>
    <t>How can we disable network packet translation on the outside host?</t>
  </si>
  <si>
    <t>How do you configure multiple traffic classes as a single traffic class on a Cisco IOS XE firewall?</t>
  </si>
  <si>
    <t>How can we perform deep-packet inspection into RTP header for classification of RTP packets in Cisco devices?</t>
  </si>
  <si>
    <t>How can you configure an aggregated treatment of multiple user-defined traffic classes from multiple port-channel subinterfaces with policy-maps attached to the same physical interface?</t>
  </si>
  <si>
    <t>How can you enable SSO-aware HSRP on interfaces configured for HSRP and automatically reset the standby RP?</t>
  </si>
  <si>
    <t>How can I locate and download MIBs for selected platforms, Cisco IOS releases, and feature sets using Cisco MIB Locator?</t>
  </si>
  <si>
    <t>What is the recommended minimum bandwidth value when using EIGRP over a tunnel interface?</t>
  </si>
  <si>
    <t>How do you configure the Hot Standby groups in Router A and Router B for load sharing between them?</t>
  </si>
  <si>
    <t>How do you implement a logging filter for syslog filter modules with configurable parameters such as filter-url, position, and args in Cisco IOS?</t>
  </si>
  <si>
    <t>What is the Cisco IOS XE software requirement for ensuring Zero SLA in a network?</t>
  </si>
  <si>
    <t>How do you specify an optional alias for a protocol instance in Cisco IOS?</t>
  </si>
  <si>
    <t>What are the steps required to configure NAT64 for FTP66 ALG support on a Cisco router?</t>
  </si>
  <si>
    <t>How can you configure read-only access for all objects to members of Access List 4 that specify the comaccess community string?</t>
  </si>
  <si>
    <t>How can we minimize the chance of reusing a single address within the SSM range for an application?</t>
  </si>
  <si>
    <t>How do I enable IP Service Level Agreement (SLA) for monitoring network performance?</t>
  </si>
  <si>
    <t>To enable NAT of the inside source address and configure interchassis redundancy for a router, what configuration commands would you use?</t>
  </si>
  <si>
    <t>How do you configure a Sun RPC Firewall Policy Map on your Cisco device?</t>
  </si>
  <si>
    <t>Guía de Categorías — Ground Truth SLM_netconfig</t>
  </si>
  <si>
    <t>Categoría</t>
  </si>
  <si>
    <t>Descripción</t>
  </si>
  <si>
    <t>Ejemplos de preguntas</t>
  </si>
  <si>
    <t>Protocolos de enrutamiento dinámico (OSPF, BGP, EIGRP, RIP), rutas estáticas, MPLS, VRF, multicast (PIM, IGMP), redistribución, redundancia de primer salto (HSRP, VRRP).</t>
  </si>
  <si>
    <t>"How do you configure OSPF area authentication?"
"What is the BGP route reflector used for?"
"How do we enable PIM sparse-mode for multicast?"</t>
  </si>
  <si>
    <t>Listas de control de acceso (ACL), firewalls de zona, IPsec, VPN, IKE/ISAKMP, AAA, RADIUS, PKI, certificados, protección ante ataques de red.</t>
  </si>
  <si>
    <t>"How do I configure a zone-based firewall?"
"What commands define an IPsec crypto map?"
"How do we configure RADIUS authentication for VTY lines?"</t>
  </si>
  <si>
    <t>Calidad de servicio: políticas de tráfico (policy-map, class-map), shaping, policing, colas de prioridad, marcado DSCP/IP precedence, optimización de voz y video.</t>
  </si>
  <si>
    <t>"How do you create a policy-map for voice traffic?"
"What is the difference between shaping and policing?"
"How do we guarantee bandwidth for RTP streams?"</t>
  </si>
  <si>
    <t>Interfaces físicas y lógicas, direccionamiento IP, NAT, VLANs, dot1q, ARP, bridge domains, port-channels (LACP), tunnels de overlay (GRE, VXLAN, DMVPN, NHRP), mecanismos de transición IPv6.</t>
  </si>
  <si>
    <t>"How do I configure a dot1q subinterface?"
"What is the command to add a static NAT entry?"
"How do we set up a DMVPN hub-and-spoke topology?"</t>
  </si>
  <si>
    <t>Observabilidad y gestión: IP SLA, SNMP, NetFlow, BFD, LLDP, NTP, syslog/logging, NBAR, captura de paquetes, OAM (CFM, Y.1731), schedulers de operaciones.</t>
  </si>
  <si>
    <t>"How do I configure an IP SLA UDP jitter probe?"
"What SNMP trap is sent when a link goes down?"
"How do we enable NetFlow export to a collector?"</t>
  </si>
  <si>
    <t>Preguntas conceptuales, procedimentales o de plataforma que no pertenecen claramente a un dominio técnico específico. Incluye modos de CLI, valores por defecto, compatibilidad de features o temas mixtos.</t>
  </si>
  <si>
    <t>"What is the minimum set of commands to enter global config mode?"
"How do I update the IOS image on an ASR 1000?"
"What are the severity levels in Cisco syslog?"</t>
  </si>
  <si>
    <t>Progreso de Anotación — se actualiza automáticamente</t>
  </si>
  <si>
    <t>Anotadas</t>
  </si>
  <si>
    <t>% del total</t>
  </si>
  <si>
    <t>Acuerdo Revisor 2</t>
  </si>
  <si>
    <t>TOTAL ANOTADAS</t>
  </si>
  <si>
    <t>Acuerdo observado (D=G)</t>
  </si>
  <si>
    <t>Objetivo: acuerdo ≥ 80% entre anotadores antes de usar como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</si>
</sst>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color rgb="FFFFFFFF"/>
      <name val="Arial"/>
    </font>
    <font>
      <sz val="10"/>
      <color rgb="FFFFFFFF"/>
      <name val="Arial"/>
    </font>
    <font>
      <b/>
      <sz val="10"/>
      <color rgb="FFFFFFFF"/>
      <name val="Arial"/>
    </font>
    <font>
      <sz val="10"/>
      <color rgb="FF555555"/>
      <name val="Arial"/>
    </font>
    <font>
      <sz val="10"/>
      <color rgb="FF000000"/>
      <name val="Arial"/>
    </font>
    <font>
      <b/>
      <sz val="10"/>
      <color rgb="FF1A5C8A"/>
      <name val="Arial"/>
    </font>
    <font>
      <b/>
      <sz val="10"/>
      <color rgb="FF1E3A5F"/>
      <name val="Arial"/>
    </font>
    <font>
      <sz val="10"/>
      <name val="Arial"/>
    </font>
    <font>
      <sz val="10"/>
      <color rgb="FF1A5C8A"/>
      <name val="Arial"/>
    </font>
    <font>
      <b/>
      <sz val="10"/>
      <color rgb="FF555550"/>
      <name val="Arial"/>
    </font>
    <font>
      <b/>
      <sz val="10"/>
      <color rgb="FF8B3A0F"/>
      <name val="Arial"/>
    </font>
    <font>
      <b/>
      <sz val="10"/>
      <color rgb="FF4A3580"/>
      <name val="Arial"/>
    </font>
    <font>
      <b/>
      <sz val="10"/>
      <color rgb="FF1D6A40"/>
      <name val="Arial"/>
    </font>
    <font>
      <b/>
      <sz val="10"/>
      <color rgb="FF5C6B00"/>
      <name val="Arial"/>
    </font>
    <font>
      <b/>
      <sz val="11"/>
      <color rgb="FF1D6A40"/>
      <name val="Arial"/>
    </font>
    <font>
      <i/>
      <sz val="10"/>
      <color rgb="FF444444"/>
      <name val="Arial"/>
    </font>
    <font>
      <b/>
      <sz val="11"/>
      <color rgb="FF8B3A0F"/>
      <name val="Arial"/>
    </font>
    <font>
      <b/>
      <sz val="11"/>
      <color rgb="FF4A3580"/>
      <name val="Arial"/>
    </font>
    <font>
      <b/>
      <sz val="11"/>
      <color rgb="FF1A5C8A"/>
      <name val="Arial"/>
    </font>
    <font>
      <b/>
      <sz val="11"/>
      <color rgb="FF5C6B00"/>
      <name val="Arial"/>
    </font>
    <font>
      <b/>
      <sz val="11"/>
      <color rgb="FF555550"/>
      <name val="Arial"/>
    </font>
    <font>
      <b/>
      <sz val="12"/>
      <color rgb="FFFFFFFF"/>
      <name val="Arial"/>
    </font>
    <font>
      <b/>
      <sz val="10"/>
      <name val="Arial"/>
    </font>
    <font>
      <i/>
      <sz val="9"/>
      <color rgb="FF888888"/>
      <name val="Arial"/>
    </font>
    <font>
      <sz val="12"/>
      <color rgb="FF0F1115"/>
      <name val="Segoe UI"/>
      <family val="2"/>
    </font>
    <font>
      <sz val="10"/>
      <color rgb="FF000000"/>
      <name val="Arial"/>
      <family val="2"/>
    </font>
    <font>
      <u/>
      <sz val="10"/>
      <color rgb="FF000000"/>
      <name val="Arial"/>
      <family val="2"/>
    </font>
  </fonts>
  <fills count="16">
    <fill>
      <patternFill patternType="none"/>
    </fill>
    <fill>
      <patternFill patternType="gray125"/>
    </fill>
    <fill>
      <patternFill patternType="solid">
        <fgColor rgb="FF1E3A5F"/>
      </patternFill>
    </fill>
    <fill>
      <patternFill patternType="solid">
        <fgColor rgb="FF2E5F9A"/>
      </patternFill>
    </fill>
    <fill>
      <patternFill patternType="solid">
        <fgColor rgb="FF2B5797"/>
      </patternFill>
    </fill>
    <fill>
      <patternFill patternType="solid">
        <fgColor rgb="FFFFFFFF"/>
      </patternFill>
    </fill>
    <fill>
      <patternFill patternType="solid">
        <fgColor rgb="FFE6F2FB"/>
      </patternFill>
    </fill>
    <fill>
      <patternFill patternType="solid">
        <fgColor rgb="FFFFFDE7"/>
      </patternFill>
    </fill>
    <fill>
      <patternFill patternType="solid">
        <fgColor rgb="FFE8F0FE"/>
      </patternFill>
    </fill>
    <fill>
      <patternFill patternType="solid">
        <fgColor rgb="FFF7F9FC"/>
      </patternFill>
    </fill>
    <fill>
      <patternFill patternType="solid">
        <fgColor rgb="FFF2F1ED"/>
      </patternFill>
    </fill>
    <fill>
      <patternFill patternType="solid">
        <fgColor rgb="FFFDF0E8"/>
      </patternFill>
    </fill>
    <fill>
      <patternFill patternType="solid">
        <fgColor rgb="FFEEEAFC"/>
      </patternFill>
    </fill>
    <fill>
      <patternFill patternType="solid">
        <fgColor rgb="FFE8F5EE"/>
      </patternFill>
    </fill>
    <fill>
      <patternFill patternType="solid">
        <fgColor rgb="FFF2F5D8"/>
      </patternFill>
    </fill>
    <fill>
      <patternFill patternType="solid">
        <fgColor rgb="FFF8F8F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4">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top" wrapText="1"/>
    </xf>
    <xf numFmtId="0" fontId="6" fillId="6"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5" fillId="5" borderId="1" xfId="0" applyFont="1" applyFill="1" applyBorder="1" applyAlignment="1">
      <alignment horizontal="left" vertical="center" wrapText="1"/>
    </xf>
    <xf numFmtId="0" fontId="9" fillId="8" borderId="2"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left" vertical="top" wrapText="1"/>
    </xf>
    <xf numFmtId="0" fontId="10" fillId="10" borderId="2" xfId="0" applyFont="1" applyFill="1" applyBorder="1" applyAlignment="1">
      <alignment horizontal="center" vertical="center"/>
    </xf>
    <xf numFmtId="0" fontId="5" fillId="9" borderId="1" xfId="0" applyFont="1" applyFill="1" applyBorder="1" applyAlignment="1">
      <alignment horizontal="left" vertical="center" wrapText="1"/>
    </xf>
    <xf numFmtId="0" fontId="11" fillId="11" borderId="2" xfId="0" applyFont="1" applyFill="1" applyBorder="1" applyAlignment="1">
      <alignment horizontal="center" vertical="center"/>
    </xf>
    <xf numFmtId="0" fontId="12" fillId="12" borderId="2" xfId="0" applyFont="1" applyFill="1" applyBorder="1" applyAlignment="1">
      <alignment horizontal="center" vertical="center"/>
    </xf>
    <xf numFmtId="0" fontId="13" fillId="13" borderId="2" xfId="0" applyFont="1" applyFill="1" applyBorder="1" applyAlignment="1">
      <alignment horizontal="center" vertical="center"/>
    </xf>
    <xf numFmtId="0" fontId="14" fillId="14" borderId="2" xfId="0" applyFont="1" applyFill="1" applyBorder="1" applyAlignment="1">
      <alignment horizontal="center" vertical="center"/>
    </xf>
    <xf numFmtId="0" fontId="3" fillId="4" borderId="0" xfId="0" applyFont="1" applyFill="1" applyAlignment="1">
      <alignment horizontal="center" vertical="center"/>
    </xf>
    <xf numFmtId="0" fontId="15" fillId="13" borderId="0" xfId="0" applyFont="1" applyFill="1" applyAlignment="1">
      <alignment horizontal="center" vertical="center"/>
    </xf>
    <xf numFmtId="0" fontId="8" fillId="13" borderId="0" xfId="0" applyFont="1" applyFill="1" applyAlignment="1">
      <alignment horizontal="left" vertical="top" wrapText="1"/>
    </xf>
    <xf numFmtId="0" fontId="16" fillId="15" borderId="0" xfId="0" applyFont="1" applyFill="1" applyAlignment="1">
      <alignment horizontal="left" vertical="top" wrapText="1"/>
    </xf>
    <xf numFmtId="0" fontId="17" fillId="11" borderId="0" xfId="0" applyFont="1" applyFill="1" applyAlignment="1">
      <alignment horizontal="center" vertical="center"/>
    </xf>
    <xf numFmtId="0" fontId="8" fillId="11" borderId="0" xfId="0" applyFont="1" applyFill="1" applyAlignment="1">
      <alignment horizontal="left" vertical="top" wrapText="1"/>
    </xf>
    <xf numFmtId="0" fontId="18" fillId="12" borderId="0" xfId="0" applyFont="1" applyFill="1" applyAlignment="1">
      <alignment horizontal="center" vertical="center"/>
    </xf>
    <xf numFmtId="0" fontId="8" fillId="12" borderId="0" xfId="0" applyFont="1" applyFill="1" applyAlignment="1">
      <alignment horizontal="left" vertical="top" wrapText="1"/>
    </xf>
    <xf numFmtId="0" fontId="19" fillId="6" borderId="0" xfId="0" applyFont="1" applyFill="1" applyAlignment="1">
      <alignment horizontal="center" vertical="center"/>
    </xf>
    <xf numFmtId="0" fontId="8" fillId="6" borderId="0" xfId="0" applyFont="1" applyFill="1" applyAlignment="1">
      <alignment horizontal="left" vertical="top" wrapText="1"/>
    </xf>
    <xf numFmtId="0" fontId="20" fillId="14" borderId="0" xfId="0" applyFont="1" applyFill="1" applyAlignment="1">
      <alignment horizontal="center" vertical="center"/>
    </xf>
    <xf numFmtId="0" fontId="8" fillId="14" borderId="0" xfId="0" applyFont="1" applyFill="1" applyAlignment="1">
      <alignment horizontal="left" vertical="top" wrapText="1"/>
    </xf>
    <xf numFmtId="0" fontId="21" fillId="10" borderId="0" xfId="0" applyFont="1" applyFill="1" applyAlignment="1">
      <alignment horizontal="center" vertical="center"/>
    </xf>
    <xf numFmtId="0" fontId="8" fillId="10" borderId="0" xfId="0" applyFont="1" applyFill="1" applyAlignment="1">
      <alignment horizontal="left" vertical="top" wrapText="1"/>
    </xf>
    <xf numFmtId="0" fontId="3" fillId="4" borderId="0" xfId="0" applyFont="1" applyFill="1" applyAlignment="1">
      <alignment horizontal="center"/>
    </xf>
    <xf numFmtId="0" fontId="13" fillId="13" borderId="0" xfId="0" applyFont="1" applyFill="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1" fillId="11" borderId="0" xfId="0" applyFont="1" applyFill="1" applyAlignment="1">
      <alignment horizontal="center"/>
    </xf>
    <xf numFmtId="0" fontId="12" fillId="12" borderId="0" xfId="0" applyFont="1" applyFill="1" applyAlignment="1">
      <alignment horizontal="center"/>
    </xf>
    <xf numFmtId="0" fontId="6" fillId="6" borderId="0" xfId="0" applyFont="1" applyFill="1" applyAlignment="1">
      <alignment horizontal="center"/>
    </xf>
    <xf numFmtId="0" fontId="14" fillId="14" borderId="0" xfId="0" applyFont="1" applyFill="1" applyAlignment="1">
      <alignment horizontal="center"/>
    </xf>
    <xf numFmtId="0" fontId="10" fillId="10" borderId="0" xfId="0" applyFont="1" applyFill="1" applyAlignment="1">
      <alignment horizontal="center"/>
    </xf>
    <xf numFmtId="0" fontId="23" fillId="0" borderId="0" xfId="0" applyFont="1"/>
    <xf numFmtId="0" fontId="23" fillId="0" borderId="0" xfId="0" applyFont="1" applyAlignment="1">
      <alignment horizontal="center"/>
    </xf>
    <xf numFmtId="164" fontId="23" fillId="0" borderId="0" xfId="0" applyNumberFormat="1" applyFont="1" applyAlignment="1">
      <alignment horizontal="center"/>
    </xf>
    <xf numFmtId="0" fontId="8" fillId="0" borderId="0" xfId="0" applyFont="1"/>
    <xf numFmtId="164" fontId="0" fillId="0" borderId="0" xfId="0" applyNumberFormat="1"/>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22" fillId="2" borderId="0" xfId="0" applyFont="1" applyFill="1" applyAlignment="1">
      <alignment horizontal="center" vertical="center"/>
    </xf>
    <xf numFmtId="0" fontId="24" fillId="0" borderId="0" xfId="0" applyFont="1"/>
    <xf numFmtId="0" fontId="25" fillId="0" borderId="0" xfId="0" applyFont="1"/>
    <xf numFmtId="0" fontId="26" fillId="5" borderId="1" xfId="0" applyFont="1" applyFill="1" applyBorder="1" applyAlignment="1">
      <alignment horizontal="left" vertical="top" wrapText="1"/>
    </xf>
    <xf numFmtId="0" fontId="26" fillId="9" borderId="1" xfId="0" applyFont="1" applyFill="1" applyBorder="1" applyAlignment="1">
      <alignment horizontal="left" vertical="top" wrapText="1"/>
    </xf>
    <xf numFmtId="0" fontId="27" fillId="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3"/>
  <sheetViews>
    <sheetView tabSelected="1" workbookViewId="0">
      <pane xSplit="1" ySplit="3" topLeftCell="B7" activePane="bottomRight" state="frozen"/>
      <selection pane="topRight"/>
      <selection pane="bottomLeft"/>
      <selection pane="bottomRight" activeCell="B11" sqref="B11"/>
    </sheetView>
  </sheetViews>
  <sheetFormatPr baseColWidth="10" defaultColWidth="9.140625" defaultRowHeight="15" x14ac:dyDescent="0.25"/>
  <cols>
    <col min="1" max="1" width="5" customWidth="1"/>
    <col min="2" max="2" width="80" customWidth="1"/>
    <col min="3" max="4" width="18" customWidth="1"/>
    <col min="5" max="5" width="16" customWidth="1"/>
    <col min="6" max="6" width="30" customWidth="1"/>
    <col min="7" max="7" width="18" customWidth="1"/>
  </cols>
  <sheetData>
    <row r="1" spans="1:7" ht="27.95" customHeight="1" x14ac:dyDescent="0.25">
      <c r="A1" s="47" t="s">
        <v>0</v>
      </c>
      <c r="B1" s="46"/>
      <c r="C1" s="46"/>
      <c r="D1" s="46"/>
      <c r="E1" s="46"/>
      <c r="F1" s="46"/>
      <c r="G1" s="46"/>
    </row>
    <row r="2" spans="1:7" ht="20.100000000000001" customHeight="1" x14ac:dyDescent="0.25">
      <c r="A2" s="45" t="s">
        <v>1</v>
      </c>
      <c r="B2" s="46"/>
      <c r="C2" s="46"/>
      <c r="D2" s="46"/>
      <c r="E2" s="46"/>
      <c r="F2" s="46"/>
      <c r="G2" s="46"/>
    </row>
    <row r="3" spans="1:7" ht="21.95" customHeight="1" x14ac:dyDescent="0.25">
      <c r="A3" s="1" t="s">
        <v>2</v>
      </c>
      <c r="B3" s="1" t="s">
        <v>3</v>
      </c>
      <c r="C3" s="1" t="s">
        <v>4</v>
      </c>
      <c r="D3" s="1" t="s">
        <v>5</v>
      </c>
      <c r="E3" s="1" t="s">
        <v>6</v>
      </c>
      <c r="F3" s="1" t="s">
        <v>7</v>
      </c>
      <c r="G3" s="1" t="s">
        <v>8</v>
      </c>
    </row>
    <row r="4" spans="1:7" ht="54.95" customHeight="1" x14ac:dyDescent="0.25">
      <c r="A4" s="2">
        <v>1</v>
      </c>
      <c r="B4" s="3" t="s">
        <v>9</v>
      </c>
      <c r="C4" s="4" t="s">
        <v>10</v>
      </c>
      <c r="D4" t="s">
        <v>26</v>
      </c>
      <c r="E4" s="6"/>
      <c r="F4" s="7"/>
      <c r="G4" s="8"/>
    </row>
    <row r="5" spans="1:7" ht="54.95" customHeight="1" x14ac:dyDescent="0.3">
      <c r="A5" s="9">
        <v>2</v>
      </c>
      <c r="B5" s="10" t="s">
        <v>11</v>
      </c>
      <c r="C5" s="11" t="s">
        <v>12</v>
      </c>
      <c r="D5" s="50" t="s">
        <v>31</v>
      </c>
      <c r="E5" s="6"/>
      <c r="F5" s="12"/>
      <c r="G5" s="8"/>
    </row>
    <row r="6" spans="1:7" ht="54.95" customHeight="1" x14ac:dyDescent="0.25">
      <c r="A6" s="2">
        <v>3</v>
      </c>
      <c r="B6" s="51" t="s">
        <v>13</v>
      </c>
      <c r="C6" s="13" t="s">
        <v>14</v>
      </c>
      <c r="D6" s="5" t="s">
        <v>14</v>
      </c>
      <c r="E6" s="6"/>
      <c r="F6" s="7"/>
      <c r="G6" s="8"/>
    </row>
    <row r="7" spans="1:7" ht="54.95" customHeight="1" x14ac:dyDescent="0.25">
      <c r="A7" s="9">
        <v>4</v>
      </c>
      <c r="B7" s="52" t="s">
        <v>15</v>
      </c>
      <c r="C7" s="11" t="s">
        <v>12</v>
      </c>
      <c r="D7" s="5" t="s">
        <v>26</v>
      </c>
      <c r="E7" s="6"/>
      <c r="F7" s="12"/>
      <c r="G7" s="8"/>
    </row>
    <row r="8" spans="1:7" ht="54.95" customHeight="1" x14ac:dyDescent="0.25">
      <c r="A8" s="2">
        <v>5</v>
      </c>
      <c r="B8" s="51" t="s">
        <v>16</v>
      </c>
      <c r="C8" s="11" t="s">
        <v>12</v>
      </c>
      <c r="D8" s="5" t="s">
        <v>31</v>
      </c>
      <c r="E8" s="6"/>
      <c r="F8" s="7"/>
      <c r="G8" s="8"/>
    </row>
    <row r="9" spans="1:7" ht="54.95" customHeight="1" x14ac:dyDescent="0.25">
      <c r="A9" s="9">
        <v>6</v>
      </c>
      <c r="B9" s="52" t="s">
        <v>17</v>
      </c>
      <c r="C9" s="13" t="s">
        <v>14</v>
      </c>
      <c r="D9" s="5" t="s">
        <v>10</v>
      </c>
      <c r="E9" s="6"/>
      <c r="F9" s="12"/>
      <c r="G9" s="8"/>
    </row>
    <row r="10" spans="1:7" ht="54.95" customHeight="1" x14ac:dyDescent="0.25">
      <c r="A10" s="2">
        <v>7</v>
      </c>
      <c r="B10" s="51" t="s">
        <v>18</v>
      </c>
      <c r="C10" s="13" t="s">
        <v>14</v>
      </c>
      <c r="D10" s="5"/>
      <c r="E10" s="6"/>
      <c r="F10" s="7"/>
      <c r="G10" s="8"/>
    </row>
    <row r="11" spans="1:7" ht="54.95" customHeight="1" x14ac:dyDescent="0.25">
      <c r="A11" s="9">
        <v>8</v>
      </c>
      <c r="B11" s="53" t="s">
        <v>19</v>
      </c>
      <c r="C11" s="11" t="s">
        <v>12</v>
      </c>
      <c r="D11" s="5"/>
      <c r="E11" s="6"/>
      <c r="F11" s="12"/>
      <c r="G11" s="8"/>
    </row>
    <row r="12" spans="1:7" ht="54.95" customHeight="1" x14ac:dyDescent="0.25">
      <c r="A12" s="2">
        <v>9</v>
      </c>
      <c r="B12" s="3" t="s">
        <v>20</v>
      </c>
      <c r="C12" s="11" t="s">
        <v>12</v>
      </c>
      <c r="D12" s="5" t="s">
        <v>22</v>
      </c>
      <c r="E12" s="6"/>
      <c r="F12" s="7"/>
      <c r="G12" s="8"/>
    </row>
    <row r="13" spans="1:7" ht="54.95" customHeight="1" x14ac:dyDescent="0.25">
      <c r="A13" s="9">
        <v>10</v>
      </c>
      <c r="B13" s="10" t="s">
        <v>21</v>
      </c>
      <c r="C13" s="14" t="s">
        <v>22</v>
      </c>
      <c r="D13" s="5"/>
      <c r="E13" s="6"/>
      <c r="F13" s="12"/>
      <c r="G13" s="8"/>
    </row>
    <row r="14" spans="1:7" ht="54.95" customHeight="1" x14ac:dyDescent="0.25">
      <c r="A14" s="2">
        <v>11</v>
      </c>
      <c r="B14" s="3" t="s">
        <v>23</v>
      </c>
      <c r="C14" s="11" t="s">
        <v>12</v>
      </c>
      <c r="D14" s="5"/>
      <c r="E14" s="6"/>
      <c r="F14" s="7"/>
      <c r="G14" s="8"/>
    </row>
    <row r="15" spans="1:7" ht="54.95" customHeight="1" x14ac:dyDescent="0.25">
      <c r="A15" s="9">
        <v>12</v>
      </c>
      <c r="B15" s="10" t="s">
        <v>24</v>
      </c>
      <c r="C15" s="11" t="s">
        <v>12</v>
      </c>
      <c r="D15" s="5"/>
      <c r="E15" s="6"/>
      <c r="F15" s="12"/>
      <c r="G15" s="8"/>
    </row>
    <row r="16" spans="1:7" ht="54.95" customHeight="1" x14ac:dyDescent="0.25">
      <c r="A16" s="2">
        <v>13</v>
      </c>
      <c r="B16" s="3" t="s">
        <v>25</v>
      </c>
      <c r="C16" s="15" t="s">
        <v>26</v>
      </c>
      <c r="D16" s="5"/>
      <c r="E16" s="6"/>
      <c r="F16" s="7"/>
      <c r="G16" s="8"/>
    </row>
    <row r="17" spans="1:7" ht="54.95" customHeight="1" x14ac:dyDescent="0.25">
      <c r="A17" s="9">
        <v>14</v>
      </c>
      <c r="B17" s="10" t="s">
        <v>27</v>
      </c>
      <c r="C17" s="11" t="s">
        <v>12</v>
      </c>
      <c r="D17" s="5"/>
      <c r="E17" s="6"/>
      <c r="F17" s="12"/>
      <c r="G17" s="8"/>
    </row>
    <row r="18" spans="1:7" ht="54.95" customHeight="1" x14ac:dyDescent="0.25">
      <c r="A18" s="2">
        <v>15</v>
      </c>
      <c r="B18" s="3" t="s">
        <v>28</v>
      </c>
      <c r="C18" s="13" t="s">
        <v>14</v>
      </c>
      <c r="D18" s="5"/>
      <c r="E18" s="6"/>
      <c r="F18" s="7"/>
      <c r="G18" s="8"/>
    </row>
    <row r="19" spans="1:7" ht="54.95" customHeight="1" x14ac:dyDescent="0.25">
      <c r="A19" s="9">
        <v>16</v>
      </c>
      <c r="B19" s="10" t="s">
        <v>29</v>
      </c>
      <c r="C19" s="13" t="s">
        <v>14</v>
      </c>
      <c r="D19" s="5"/>
      <c r="E19" s="6"/>
      <c r="F19" s="12"/>
      <c r="G19" s="8"/>
    </row>
    <row r="20" spans="1:7" ht="54.95" customHeight="1" x14ac:dyDescent="0.25">
      <c r="A20" s="2">
        <v>17</v>
      </c>
      <c r="B20" s="3" t="s">
        <v>30</v>
      </c>
      <c r="C20" s="16" t="s">
        <v>31</v>
      </c>
      <c r="D20" s="5"/>
      <c r="E20" s="6"/>
      <c r="F20" s="7"/>
      <c r="G20" s="8"/>
    </row>
    <row r="21" spans="1:7" ht="54.95" customHeight="1" x14ac:dyDescent="0.25">
      <c r="A21" s="9">
        <v>18</v>
      </c>
      <c r="B21" s="10" t="s">
        <v>32</v>
      </c>
      <c r="C21" s="11" t="s">
        <v>12</v>
      </c>
      <c r="D21" s="5"/>
      <c r="E21" s="6"/>
      <c r="F21" s="12"/>
      <c r="G21" s="8"/>
    </row>
    <row r="22" spans="1:7" ht="54.95" customHeight="1" x14ac:dyDescent="0.25">
      <c r="A22" s="2">
        <v>19</v>
      </c>
      <c r="B22" s="3" t="s">
        <v>33</v>
      </c>
      <c r="C22" s="4" t="s">
        <v>10</v>
      </c>
      <c r="D22" s="5"/>
      <c r="E22" s="6"/>
      <c r="F22" s="7"/>
      <c r="G22" s="8"/>
    </row>
    <row r="23" spans="1:7" ht="54.95" customHeight="1" x14ac:dyDescent="0.25">
      <c r="A23" s="9">
        <v>20</v>
      </c>
      <c r="B23" s="10" t="s">
        <v>34</v>
      </c>
      <c r="C23" s="15" t="s">
        <v>26</v>
      </c>
      <c r="D23" s="5"/>
      <c r="E23" s="6"/>
      <c r="F23" s="12"/>
      <c r="G23" s="8"/>
    </row>
    <row r="24" spans="1:7" ht="54.95" customHeight="1" x14ac:dyDescent="0.25">
      <c r="A24" s="2">
        <v>21</v>
      </c>
      <c r="B24" s="3" t="s">
        <v>35</v>
      </c>
      <c r="C24" s="16" t="s">
        <v>31</v>
      </c>
      <c r="D24" s="5"/>
      <c r="E24" s="6"/>
      <c r="F24" s="7"/>
      <c r="G24" s="8"/>
    </row>
    <row r="25" spans="1:7" ht="54.95" customHeight="1" x14ac:dyDescent="0.25">
      <c r="A25" s="9">
        <v>22</v>
      </c>
      <c r="B25" s="10" t="s">
        <v>36</v>
      </c>
      <c r="C25" s="16" t="s">
        <v>31</v>
      </c>
      <c r="D25" s="5"/>
      <c r="E25" s="6"/>
      <c r="F25" s="12"/>
      <c r="G25" s="8"/>
    </row>
    <row r="26" spans="1:7" ht="54.95" customHeight="1" x14ac:dyDescent="0.25">
      <c r="A26" s="2">
        <v>23</v>
      </c>
      <c r="B26" s="3" t="s">
        <v>37</v>
      </c>
      <c r="C26" s="4" t="s">
        <v>10</v>
      </c>
      <c r="D26" s="5"/>
      <c r="E26" s="6"/>
      <c r="F26" s="7"/>
      <c r="G26" s="8"/>
    </row>
    <row r="27" spans="1:7" ht="54.95" customHeight="1" x14ac:dyDescent="0.25">
      <c r="A27" s="9">
        <v>24</v>
      </c>
      <c r="B27" s="10" t="s">
        <v>38</v>
      </c>
      <c r="C27" s="4" t="s">
        <v>10</v>
      </c>
      <c r="D27" s="5"/>
      <c r="E27" s="6"/>
      <c r="F27" s="12"/>
      <c r="G27" s="8"/>
    </row>
    <row r="28" spans="1:7" ht="54.95" customHeight="1" x14ac:dyDescent="0.25">
      <c r="A28" s="2">
        <v>25</v>
      </c>
      <c r="B28" s="3" t="s">
        <v>39</v>
      </c>
      <c r="C28" s="11" t="s">
        <v>12</v>
      </c>
      <c r="D28" s="5"/>
      <c r="E28" s="6"/>
      <c r="F28" s="7"/>
      <c r="G28" s="8"/>
    </row>
    <row r="29" spans="1:7" ht="54.95" customHeight="1" x14ac:dyDescent="0.25">
      <c r="A29" s="9">
        <v>26</v>
      </c>
      <c r="B29" s="10" t="s">
        <v>40</v>
      </c>
      <c r="C29" s="14" t="s">
        <v>22</v>
      </c>
      <c r="D29" s="5"/>
      <c r="E29" s="6"/>
      <c r="F29" s="12"/>
      <c r="G29" s="8"/>
    </row>
    <row r="30" spans="1:7" ht="54.95" customHeight="1" x14ac:dyDescent="0.25">
      <c r="A30" s="2">
        <v>27</v>
      </c>
      <c r="B30" s="3" t="s">
        <v>41</v>
      </c>
      <c r="C30" s="16" t="s">
        <v>31</v>
      </c>
      <c r="D30" s="5"/>
      <c r="E30" s="6"/>
      <c r="F30" s="7"/>
      <c r="G30" s="8"/>
    </row>
    <row r="31" spans="1:7" ht="54.95" customHeight="1" x14ac:dyDescent="0.25">
      <c r="A31" s="9">
        <v>28</v>
      </c>
      <c r="B31" s="10" t="s">
        <v>42</v>
      </c>
      <c r="C31" s="11" t="s">
        <v>12</v>
      </c>
      <c r="D31" s="5"/>
      <c r="E31" s="6"/>
      <c r="F31" s="12"/>
      <c r="G31" s="8"/>
    </row>
    <row r="32" spans="1:7" ht="54.95" customHeight="1" x14ac:dyDescent="0.25">
      <c r="A32" s="2">
        <v>29</v>
      </c>
      <c r="B32" s="3" t="s">
        <v>43</v>
      </c>
      <c r="C32" s="11" t="s">
        <v>12</v>
      </c>
      <c r="D32" s="5"/>
      <c r="E32" s="6"/>
      <c r="F32" s="7"/>
      <c r="G32" s="8"/>
    </row>
    <row r="33" spans="1:7" ht="54.95" customHeight="1" x14ac:dyDescent="0.25">
      <c r="A33" s="9">
        <v>30</v>
      </c>
      <c r="B33" s="10" t="s">
        <v>44</v>
      </c>
      <c r="C33" s="4" t="s">
        <v>10</v>
      </c>
      <c r="D33" s="5"/>
      <c r="E33" s="6"/>
      <c r="F33" s="12"/>
      <c r="G33" s="8"/>
    </row>
    <row r="34" spans="1:7" ht="54.95" customHeight="1" x14ac:dyDescent="0.25">
      <c r="A34" s="2">
        <v>31</v>
      </c>
      <c r="B34" s="3" t="s">
        <v>45</v>
      </c>
      <c r="C34" s="14" t="s">
        <v>22</v>
      </c>
      <c r="D34" s="5"/>
      <c r="E34" s="6"/>
      <c r="F34" s="7"/>
      <c r="G34" s="8"/>
    </row>
    <row r="35" spans="1:7" ht="54.95" customHeight="1" x14ac:dyDescent="0.25">
      <c r="A35" s="9">
        <v>32</v>
      </c>
      <c r="B35" s="10" t="s">
        <v>46</v>
      </c>
      <c r="C35" s="4" t="s">
        <v>10</v>
      </c>
      <c r="D35" s="5"/>
      <c r="E35" s="6"/>
      <c r="F35" s="12"/>
      <c r="G35" s="8"/>
    </row>
    <row r="36" spans="1:7" ht="54.95" customHeight="1" x14ac:dyDescent="0.25">
      <c r="A36" s="2">
        <v>33</v>
      </c>
      <c r="B36" s="3" t="s">
        <v>47</v>
      </c>
      <c r="C36" s="15" t="s">
        <v>26</v>
      </c>
      <c r="D36" s="5"/>
      <c r="E36" s="6"/>
      <c r="F36" s="7"/>
      <c r="G36" s="8"/>
    </row>
    <row r="37" spans="1:7" ht="54.95" customHeight="1" x14ac:dyDescent="0.25">
      <c r="A37" s="9">
        <v>34</v>
      </c>
      <c r="B37" s="10" t="s">
        <v>48</v>
      </c>
      <c r="C37" s="11" t="s">
        <v>12</v>
      </c>
      <c r="D37" s="5"/>
      <c r="E37" s="6"/>
      <c r="F37" s="12"/>
      <c r="G37" s="8"/>
    </row>
    <row r="38" spans="1:7" ht="54.95" customHeight="1" x14ac:dyDescent="0.25">
      <c r="A38" s="2">
        <v>35</v>
      </c>
      <c r="B38" s="3" t="s">
        <v>49</v>
      </c>
      <c r="C38" s="11" t="s">
        <v>12</v>
      </c>
      <c r="D38" s="5"/>
      <c r="E38" s="6"/>
      <c r="F38" s="7"/>
      <c r="G38" s="8"/>
    </row>
    <row r="39" spans="1:7" ht="54.95" customHeight="1" x14ac:dyDescent="0.25">
      <c r="A39" s="9">
        <v>36</v>
      </c>
      <c r="B39" s="10" t="s">
        <v>50</v>
      </c>
      <c r="C39" s="4" t="s">
        <v>10</v>
      </c>
      <c r="D39" s="5"/>
      <c r="E39" s="6"/>
      <c r="F39" s="12"/>
      <c r="G39" s="8"/>
    </row>
    <row r="40" spans="1:7" ht="54.95" customHeight="1" x14ac:dyDescent="0.25">
      <c r="A40" s="2">
        <v>37</v>
      </c>
      <c r="B40" s="3" t="s">
        <v>51</v>
      </c>
      <c r="C40" s="15" t="s">
        <v>26</v>
      </c>
      <c r="D40" s="5"/>
      <c r="E40" s="6"/>
      <c r="F40" s="7"/>
      <c r="G40" s="8"/>
    </row>
    <row r="41" spans="1:7" ht="54.95" customHeight="1" x14ac:dyDescent="0.25">
      <c r="A41" s="9">
        <v>38</v>
      </c>
      <c r="B41" s="10" t="s">
        <v>52</v>
      </c>
      <c r="C41" s="11" t="s">
        <v>12</v>
      </c>
      <c r="D41" s="5"/>
      <c r="E41" s="6"/>
      <c r="F41" s="12"/>
      <c r="G41" s="8"/>
    </row>
    <row r="42" spans="1:7" ht="54.95" customHeight="1" x14ac:dyDescent="0.25">
      <c r="A42" s="2">
        <v>39</v>
      </c>
      <c r="B42" s="3" t="s">
        <v>53</v>
      </c>
      <c r="C42" s="11" t="s">
        <v>12</v>
      </c>
      <c r="D42" s="5"/>
      <c r="E42" s="6"/>
      <c r="F42" s="7"/>
      <c r="G42" s="8"/>
    </row>
    <row r="43" spans="1:7" ht="54.95" customHeight="1" x14ac:dyDescent="0.25">
      <c r="A43" s="9">
        <v>40</v>
      </c>
      <c r="B43" s="10" t="s">
        <v>54</v>
      </c>
      <c r="C43" s="11" t="s">
        <v>12</v>
      </c>
      <c r="D43" s="5"/>
      <c r="E43" s="6"/>
      <c r="F43" s="12"/>
      <c r="G43" s="8"/>
    </row>
    <row r="44" spans="1:7" ht="54.95" customHeight="1" x14ac:dyDescent="0.25">
      <c r="A44" s="2">
        <v>41</v>
      </c>
      <c r="B44" s="3" t="s">
        <v>55</v>
      </c>
      <c r="C44" s="13" t="s">
        <v>14</v>
      </c>
      <c r="D44" s="5"/>
      <c r="E44" s="6"/>
      <c r="F44" s="7"/>
      <c r="G44" s="8"/>
    </row>
    <row r="45" spans="1:7" ht="54.95" customHeight="1" x14ac:dyDescent="0.25">
      <c r="A45" s="9">
        <v>42</v>
      </c>
      <c r="B45" s="10" t="s">
        <v>56</v>
      </c>
      <c r="C45" s="11" t="s">
        <v>12</v>
      </c>
      <c r="D45" s="5"/>
      <c r="E45" s="6"/>
      <c r="F45" s="12"/>
      <c r="G45" s="8"/>
    </row>
    <row r="46" spans="1:7" ht="54.95" customHeight="1" x14ac:dyDescent="0.25">
      <c r="A46" s="2">
        <v>43</v>
      </c>
      <c r="B46" s="3" t="s">
        <v>57</v>
      </c>
      <c r="C46" s="16" t="s">
        <v>31</v>
      </c>
      <c r="D46" s="5"/>
      <c r="E46" s="6"/>
      <c r="F46" s="7"/>
      <c r="G46" s="8"/>
    </row>
    <row r="47" spans="1:7" ht="54.95" customHeight="1" x14ac:dyDescent="0.25">
      <c r="A47" s="9">
        <v>44</v>
      </c>
      <c r="B47" s="10" t="s">
        <v>58</v>
      </c>
      <c r="C47" s="11" t="s">
        <v>12</v>
      </c>
      <c r="D47" s="5"/>
      <c r="E47" s="6"/>
      <c r="F47" s="12"/>
      <c r="G47" s="8"/>
    </row>
    <row r="48" spans="1:7" ht="54.95" customHeight="1" x14ac:dyDescent="0.25">
      <c r="A48" s="2">
        <v>45</v>
      </c>
      <c r="B48" s="3" t="s">
        <v>59</v>
      </c>
      <c r="C48" s="11" t="s">
        <v>12</v>
      </c>
      <c r="D48" s="5"/>
      <c r="E48" s="6"/>
      <c r="F48" s="7"/>
      <c r="G48" s="8"/>
    </row>
    <row r="49" spans="1:7" ht="54.95" customHeight="1" x14ac:dyDescent="0.25">
      <c r="A49" s="9">
        <v>46</v>
      </c>
      <c r="B49" s="10" t="s">
        <v>60</v>
      </c>
      <c r="C49" s="11" t="s">
        <v>12</v>
      </c>
      <c r="D49" s="5"/>
      <c r="E49" s="6"/>
      <c r="F49" s="12"/>
      <c r="G49" s="8"/>
    </row>
    <row r="50" spans="1:7" ht="54.95" customHeight="1" x14ac:dyDescent="0.25">
      <c r="A50" s="2">
        <v>47</v>
      </c>
      <c r="B50" s="3" t="s">
        <v>61</v>
      </c>
      <c r="C50" s="11" t="s">
        <v>12</v>
      </c>
      <c r="D50" s="5"/>
      <c r="E50" s="6"/>
      <c r="F50" s="7"/>
      <c r="G50" s="8"/>
    </row>
    <row r="51" spans="1:7" ht="54.95" customHeight="1" x14ac:dyDescent="0.25">
      <c r="A51" s="9">
        <v>48</v>
      </c>
      <c r="B51" s="10" t="s">
        <v>62</v>
      </c>
      <c r="C51" s="11" t="s">
        <v>12</v>
      </c>
      <c r="D51" s="5"/>
      <c r="E51" s="6"/>
      <c r="F51" s="12"/>
      <c r="G51" s="8"/>
    </row>
    <row r="52" spans="1:7" ht="54.95" customHeight="1" x14ac:dyDescent="0.25">
      <c r="A52" s="2">
        <v>49</v>
      </c>
      <c r="B52" s="3" t="s">
        <v>63</v>
      </c>
      <c r="C52" s="15" t="s">
        <v>26</v>
      </c>
      <c r="D52" s="5"/>
      <c r="E52" s="6"/>
      <c r="F52" s="7"/>
      <c r="G52" s="8"/>
    </row>
    <row r="53" spans="1:7" ht="54.95" customHeight="1" x14ac:dyDescent="0.25">
      <c r="A53" s="9">
        <v>50</v>
      </c>
      <c r="B53" s="10" t="s">
        <v>64</v>
      </c>
      <c r="C53" s="11" t="s">
        <v>12</v>
      </c>
      <c r="D53" s="5"/>
      <c r="E53" s="6"/>
      <c r="F53" s="12"/>
      <c r="G53" s="8"/>
    </row>
    <row r="54" spans="1:7" ht="54.95" customHeight="1" x14ac:dyDescent="0.25">
      <c r="A54" s="2">
        <v>51</v>
      </c>
      <c r="B54" s="3" t="s">
        <v>65</v>
      </c>
      <c r="C54" s="11" t="s">
        <v>12</v>
      </c>
      <c r="D54" s="5"/>
      <c r="E54" s="6"/>
      <c r="F54" s="7"/>
      <c r="G54" s="8"/>
    </row>
    <row r="55" spans="1:7" ht="54.95" customHeight="1" x14ac:dyDescent="0.25">
      <c r="A55" s="9">
        <v>52</v>
      </c>
      <c r="B55" s="10" t="s">
        <v>66</v>
      </c>
      <c r="C55" s="11" t="s">
        <v>12</v>
      </c>
      <c r="D55" s="5"/>
      <c r="E55" s="6"/>
      <c r="F55" s="12"/>
      <c r="G55" s="8"/>
    </row>
    <row r="56" spans="1:7" ht="54.95" customHeight="1" x14ac:dyDescent="0.25">
      <c r="A56" s="2">
        <v>53</v>
      </c>
      <c r="B56" s="3" t="s">
        <v>67</v>
      </c>
      <c r="C56" s="11" t="s">
        <v>12</v>
      </c>
      <c r="D56" s="5"/>
      <c r="E56" s="6"/>
      <c r="F56" s="7"/>
      <c r="G56" s="8"/>
    </row>
    <row r="57" spans="1:7" ht="54.95" customHeight="1" x14ac:dyDescent="0.25">
      <c r="A57" s="9">
        <v>54</v>
      </c>
      <c r="B57" s="10" t="s">
        <v>68</v>
      </c>
      <c r="C57" s="15" t="s">
        <v>26</v>
      </c>
      <c r="D57" s="5"/>
      <c r="E57" s="6"/>
      <c r="F57" s="12"/>
      <c r="G57" s="8"/>
    </row>
    <row r="58" spans="1:7" ht="54.95" customHeight="1" x14ac:dyDescent="0.25">
      <c r="A58" s="2">
        <v>55</v>
      </c>
      <c r="B58" s="3" t="s">
        <v>69</v>
      </c>
      <c r="C58" s="11" t="s">
        <v>12</v>
      </c>
      <c r="D58" s="5"/>
      <c r="E58" s="6"/>
      <c r="F58" s="7"/>
      <c r="G58" s="8"/>
    </row>
    <row r="59" spans="1:7" ht="54.95" customHeight="1" x14ac:dyDescent="0.25">
      <c r="A59" s="9">
        <v>56</v>
      </c>
      <c r="B59" s="10" t="s">
        <v>70</v>
      </c>
      <c r="C59" s="11" t="s">
        <v>12</v>
      </c>
      <c r="D59" s="5"/>
      <c r="E59" s="6"/>
      <c r="F59" s="12"/>
      <c r="G59" s="8"/>
    </row>
    <row r="60" spans="1:7" ht="54.95" customHeight="1" x14ac:dyDescent="0.25">
      <c r="A60" s="2">
        <v>57</v>
      </c>
      <c r="B60" s="3" t="s">
        <v>71</v>
      </c>
      <c r="C60" s="11" t="s">
        <v>12</v>
      </c>
      <c r="D60" s="5"/>
      <c r="E60" s="6"/>
      <c r="F60" s="7"/>
      <c r="G60" s="8"/>
    </row>
    <row r="61" spans="1:7" ht="54.95" customHeight="1" x14ac:dyDescent="0.25">
      <c r="A61" s="9">
        <v>58</v>
      </c>
      <c r="B61" s="10" t="s">
        <v>72</v>
      </c>
      <c r="C61" s="11" t="s">
        <v>12</v>
      </c>
      <c r="D61" s="5"/>
      <c r="E61" s="6"/>
      <c r="F61" s="12"/>
      <c r="G61" s="8"/>
    </row>
    <row r="62" spans="1:7" ht="54.95" customHeight="1" x14ac:dyDescent="0.25">
      <c r="A62" s="2">
        <v>59</v>
      </c>
      <c r="B62" s="3" t="s">
        <v>73</v>
      </c>
      <c r="C62" s="11" t="s">
        <v>12</v>
      </c>
      <c r="D62" s="5"/>
      <c r="E62" s="6"/>
      <c r="F62" s="7"/>
      <c r="G62" s="8"/>
    </row>
    <row r="63" spans="1:7" ht="54.95" customHeight="1" x14ac:dyDescent="0.25">
      <c r="A63" s="9">
        <v>60</v>
      </c>
      <c r="B63" s="10" t="s">
        <v>74</v>
      </c>
      <c r="C63" s="11" t="s">
        <v>12</v>
      </c>
      <c r="D63" s="5"/>
      <c r="E63" s="6"/>
      <c r="F63" s="12"/>
      <c r="G63" s="8"/>
    </row>
    <row r="64" spans="1:7" ht="54.95" customHeight="1" x14ac:dyDescent="0.25">
      <c r="A64" s="2">
        <v>61</v>
      </c>
      <c r="B64" s="3" t="s">
        <v>75</v>
      </c>
      <c r="C64" s="16" t="s">
        <v>31</v>
      </c>
      <c r="D64" s="5"/>
      <c r="E64" s="6"/>
      <c r="F64" s="7"/>
      <c r="G64" s="8"/>
    </row>
    <row r="65" spans="1:7" ht="54.95" customHeight="1" x14ac:dyDescent="0.25">
      <c r="A65" s="9">
        <v>62</v>
      </c>
      <c r="B65" s="10" t="s">
        <v>76</v>
      </c>
      <c r="C65" s="11" t="s">
        <v>12</v>
      </c>
      <c r="D65" s="5"/>
      <c r="E65" s="6"/>
      <c r="F65" s="12"/>
      <c r="G65" s="8"/>
    </row>
    <row r="66" spans="1:7" ht="54.95" customHeight="1" x14ac:dyDescent="0.25">
      <c r="A66" s="2">
        <v>63</v>
      </c>
      <c r="B66" s="3" t="s">
        <v>77</v>
      </c>
      <c r="C66" s="4" t="s">
        <v>10</v>
      </c>
      <c r="D66" s="5"/>
      <c r="E66" s="6"/>
      <c r="F66" s="7"/>
      <c r="G66" s="8"/>
    </row>
    <row r="67" spans="1:7" ht="54.95" customHeight="1" x14ac:dyDescent="0.25">
      <c r="A67" s="9">
        <v>64</v>
      </c>
      <c r="B67" s="10" t="s">
        <v>78</v>
      </c>
      <c r="C67" s="16" t="s">
        <v>31</v>
      </c>
      <c r="D67" s="5"/>
      <c r="E67" s="6"/>
      <c r="F67" s="12"/>
      <c r="G67" s="8"/>
    </row>
    <row r="68" spans="1:7" ht="54.95" customHeight="1" x14ac:dyDescent="0.25">
      <c r="A68" s="2">
        <v>65</v>
      </c>
      <c r="B68" s="3" t="s">
        <v>79</v>
      </c>
      <c r="C68" s="11" t="s">
        <v>12</v>
      </c>
      <c r="D68" s="5"/>
      <c r="E68" s="6"/>
      <c r="F68" s="7"/>
      <c r="G68" s="8"/>
    </row>
    <row r="69" spans="1:7" ht="54.95" customHeight="1" x14ac:dyDescent="0.25">
      <c r="A69" s="9">
        <v>66</v>
      </c>
      <c r="B69" s="10" t="s">
        <v>80</v>
      </c>
      <c r="C69" s="11" t="s">
        <v>12</v>
      </c>
      <c r="D69" s="5"/>
      <c r="E69" s="6"/>
      <c r="F69" s="12"/>
      <c r="G69" s="8"/>
    </row>
    <row r="70" spans="1:7" ht="54.95" customHeight="1" x14ac:dyDescent="0.25">
      <c r="A70" s="2">
        <v>67</v>
      </c>
      <c r="B70" s="3" t="s">
        <v>81</v>
      </c>
      <c r="C70" s="14" t="s">
        <v>22</v>
      </c>
      <c r="D70" s="5"/>
      <c r="E70" s="6"/>
      <c r="F70" s="7"/>
      <c r="G70" s="8"/>
    </row>
    <row r="71" spans="1:7" ht="54.95" customHeight="1" x14ac:dyDescent="0.25">
      <c r="A71" s="9">
        <v>68</v>
      </c>
      <c r="B71" s="10" t="s">
        <v>82</v>
      </c>
      <c r="C71" s="11" t="s">
        <v>12</v>
      </c>
      <c r="D71" s="5"/>
      <c r="E71" s="6"/>
      <c r="F71" s="12"/>
      <c r="G71" s="8"/>
    </row>
    <row r="72" spans="1:7" ht="54.95" customHeight="1" x14ac:dyDescent="0.25">
      <c r="A72" s="2">
        <v>69</v>
      </c>
      <c r="B72" s="3" t="s">
        <v>83</v>
      </c>
      <c r="C72" s="11" t="s">
        <v>12</v>
      </c>
      <c r="D72" s="5"/>
      <c r="E72" s="6"/>
      <c r="F72" s="7"/>
      <c r="G72" s="8"/>
    </row>
    <row r="73" spans="1:7" ht="54.95" customHeight="1" x14ac:dyDescent="0.25">
      <c r="A73" s="9">
        <v>70</v>
      </c>
      <c r="B73" s="10" t="s">
        <v>84</v>
      </c>
      <c r="C73" s="13" t="s">
        <v>14</v>
      </c>
      <c r="D73" s="5"/>
      <c r="E73" s="6"/>
      <c r="F73" s="12"/>
      <c r="G73" s="8"/>
    </row>
    <row r="74" spans="1:7" ht="54.95" customHeight="1" x14ac:dyDescent="0.25">
      <c r="A74" s="2">
        <v>71</v>
      </c>
      <c r="B74" s="3" t="s">
        <v>85</v>
      </c>
      <c r="C74" s="4" t="s">
        <v>10</v>
      </c>
      <c r="D74" s="5"/>
      <c r="E74" s="6"/>
      <c r="F74" s="7"/>
      <c r="G74" s="8"/>
    </row>
    <row r="75" spans="1:7" ht="54.95" customHeight="1" x14ac:dyDescent="0.25">
      <c r="A75" s="9">
        <v>72</v>
      </c>
      <c r="B75" s="10" t="s">
        <v>86</v>
      </c>
      <c r="C75" s="4" t="s">
        <v>10</v>
      </c>
      <c r="D75" s="5"/>
      <c r="E75" s="6"/>
      <c r="F75" s="12"/>
      <c r="G75" s="8"/>
    </row>
    <row r="76" spans="1:7" ht="54.95" customHeight="1" x14ac:dyDescent="0.25">
      <c r="A76" s="2">
        <v>73</v>
      </c>
      <c r="B76" s="3" t="s">
        <v>87</v>
      </c>
      <c r="C76" s="4" t="s">
        <v>10</v>
      </c>
      <c r="D76" s="5"/>
      <c r="E76" s="6"/>
      <c r="F76" s="7"/>
      <c r="G76" s="8"/>
    </row>
    <row r="77" spans="1:7" ht="54.95" customHeight="1" x14ac:dyDescent="0.25">
      <c r="A77" s="9">
        <v>74</v>
      </c>
      <c r="B77" s="10" t="s">
        <v>88</v>
      </c>
      <c r="C77" s="4" t="s">
        <v>10</v>
      </c>
      <c r="D77" s="5"/>
      <c r="E77" s="6"/>
      <c r="F77" s="12"/>
      <c r="G77" s="8"/>
    </row>
    <row r="78" spans="1:7" ht="54.95" customHeight="1" x14ac:dyDescent="0.25">
      <c r="A78" s="2">
        <v>75</v>
      </c>
      <c r="B78" s="3" t="s">
        <v>89</v>
      </c>
      <c r="C78" s="4" t="s">
        <v>10</v>
      </c>
      <c r="D78" s="5"/>
      <c r="E78" s="6"/>
      <c r="F78" s="7"/>
      <c r="G78" s="8"/>
    </row>
    <row r="79" spans="1:7" ht="54.95" customHeight="1" x14ac:dyDescent="0.25">
      <c r="A79" s="9">
        <v>76</v>
      </c>
      <c r="B79" s="10" t="s">
        <v>90</v>
      </c>
      <c r="C79" s="4" t="s">
        <v>10</v>
      </c>
      <c r="D79" s="5"/>
      <c r="E79" s="6"/>
      <c r="F79" s="12"/>
      <c r="G79" s="8"/>
    </row>
    <row r="80" spans="1:7" ht="54.95" customHeight="1" x14ac:dyDescent="0.25">
      <c r="A80" s="2">
        <v>77</v>
      </c>
      <c r="B80" s="3" t="s">
        <v>91</v>
      </c>
      <c r="C80" s="11" t="s">
        <v>12</v>
      </c>
      <c r="D80" s="5"/>
      <c r="E80" s="6"/>
      <c r="F80" s="7"/>
      <c r="G80" s="8"/>
    </row>
    <row r="81" spans="1:7" ht="54.95" customHeight="1" x14ac:dyDescent="0.25">
      <c r="A81" s="9">
        <v>78</v>
      </c>
      <c r="B81" s="10" t="s">
        <v>92</v>
      </c>
      <c r="C81" s="11" t="s">
        <v>12</v>
      </c>
      <c r="D81" s="5"/>
      <c r="E81" s="6"/>
      <c r="F81" s="12"/>
      <c r="G81" s="8"/>
    </row>
    <row r="82" spans="1:7" ht="54.95" customHeight="1" x14ac:dyDescent="0.25">
      <c r="A82" s="2">
        <v>79</v>
      </c>
      <c r="B82" s="3" t="s">
        <v>93</v>
      </c>
      <c r="C82" s="14" t="s">
        <v>22</v>
      </c>
      <c r="D82" s="5"/>
      <c r="E82" s="6"/>
      <c r="F82" s="7"/>
      <c r="G82" s="8"/>
    </row>
    <row r="83" spans="1:7" ht="54.95" customHeight="1" x14ac:dyDescent="0.25">
      <c r="A83" s="9">
        <v>80</v>
      </c>
      <c r="B83" s="10" t="s">
        <v>94</v>
      </c>
      <c r="C83" s="14" t="s">
        <v>22</v>
      </c>
      <c r="D83" s="5"/>
      <c r="E83" s="6"/>
      <c r="F83" s="12"/>
      <c r="G83" s="8"/>
    </row>
    <row r="84" spans="1:7" ht="54.95" customHeight="1" x14ac:dyDescent="0.25">
      <c r="A84" s="2">
        <v>81</v>
      </c>
      <c r="B84" s="3" t="s">
        <v>95</v>
      </c>
      <c r="C84" s="11" t="s">
        <v>12</v>
      </c>
      <c r="D84" s="5"/>
      <c r="E84" s="6"/>
      <c r="F84" s="7"/>
      <c r="G84" s="8"/>
    </row>
    <row r="85" spans="1:7" ht="54.95" customHeight="1" x14ac:dyDescent="0.25">
      <c r="A85" s="9">
        <v>82</v>
      </c>
      <c r="B85" s="10" t="s">
        <v>96</v>
      </c>
      <c r="C85" s="11" t="s">
        <v>12</v>
      </c>
      <c r="D85" s="5"/>
      <c r="E85" s="6"/>
      <c r="F85" s="12"/>
      <c r="G85" s="8"/>
    </row>
    <row r="86" spans="1:7" ht="54.95" customHeight="1" x14ac:dyDescent="0.25">
      <c r="A86" s="2">
        <v>83</v>
      </c>
      <c r="B86" s="3" t="s">
        <v>97</v>
      </c>
      <c r="C86" s="14" t="s">
        <v>22</v>
      </c>
      <c r="D86" s="5"/>
      <c r="E86" s="6"/>
      <c r="F86" s="7"/>
      <c r="G86" s="8"/>
    </row>
    <row r="87" spans="1:7" ht="54.95" customHeight="1" x14ac:dyDescent="0.25">
      <c r="A87" s="9">
        <v>84</v>
      </c>
      <c r="B87" s="10" t="s">
        <v>98</v>
      </c>
      <c r="C87" s="11" t="s">
        <v>12</v>
      </c>
      <c r="D87" s="5"/>
      <c r="E87" s="6"/>
      <c r="F87" s="12"/>
      <c r="G87" s="8"/>
    </row>
    <row r="88" spans="1:7" ht="54.95" customHeight="1" x14ac:dyDescent="0.25">
      <c r="A88" s="2">
        <v>85</v>
      </c>
      <c r="B88" s="3" t="s">
        <v>99</v>
      </c>
      <c r="C88" s="4" t="s">
        <v>10</v>
      </c>
      <c r="D88" s="5"/>
      <c r="E88" s="6"/>
      <c r="F88" s="7"/>
      <c r="G88" s="8"/>
    </row>
    <row r="89" spans="1:7" ht="54.95" customHeight="1" x14ac:dyDescent="0.25">
      <c r="A89" s="9">
        <v>86</v>
      </c>
      <c r="B89" s="10" t="s">
        <v>100</v>
      </c>
      <c r="C89" s="11" t="s">
        <v>12</v>
      </c>
      <c r="D89" s="5"/>
      <c r="E89" s="6"/>
      <c r="F89" s="12"/>
      <c r="G89" s="8"/>
    </row>
    <row r="90" spans="1:7" ht="54.95" customHeight="1" x14ac:dyDescent="0.25">
      <c r="A90" s="2">
        <v>87</v>
      </c>
      <c r="B90" s="3" t="s">
        <v>101</v>
      </c>
      <c r="C90" s="11" t="s">
        <v>12</v>
      </c>
      <c r="D90" s="5"/>
      <c r="E90" s="6"/>
      <c r="F90" s="7"/>
      <c r="G90" s="8"/>
    </row>
    <row r="91" spans="1:7" ht="54.95" customHeight="1" x14ac:dyDescent="0.25">
      <c r="A91" s="9">
        <v>88</v>
      </c>
      <c r="B91" s="10" t="s">
        <v>102</v>
      </c>
      <c r="C91" s="15" t="s">
        <v>26</v>
      </c>
      <c r="D91" s="5"/>
      <c r="E91" s="6"/>
      <c r="F91" s="12"/>
      <c r="G91" s="8"/>
    </row>
    <row r="92" spans="1:7" ht="54.95" customHeight="1" x14ac:dyDescent="0.25">
      <c r="A92" s="2">
        <v>89</v>
      </c>
      <c r="B92" s="3" t="s">
        <v>103</v>
      </c>
      <c r="C92" s="4" t="s">
        <v>10</v>
      </c>
      <c r="D92" s="5"/>
      <c r="E92" s="6"/>
      <c r="F92" s="7"/>
      <c r="G92" s="8"/>
    </row>
    <row r="93" spans="1:7" ht="54.95" customHeight="1" x14ac:dyDescent="0.25">
      <c r="A93" s="9">
        <v>90</v>
      </c>
      <c r="B93" s="10" t="s">
        <v>104</v>
      </c>
      <c r="C93" s="4" t="s">
        <v>10</v>
      </c>
      <c r="D93" s="5"/>
      <c r="E93" s="6"/>
      <c r="F93" s="12"/>
      <c r="G93" s="8"/>
    </row>
    <row r="94" spans="1:7" ht="54.95" customHeight="1" x14ac:dyDescent="0.25">
      <c r="A94" s="2">
        <v>91</v>
      </c>
      <c r="B94" s="3" t="s">
        <v>105</v>
      </c>
      <c r="C94" s="13" t="s">
        <v>14</v>
      </c>
      <c r="D94" s="5"/>
      <c r="E94" s="6"/>
      <c r="F94" s="7"/>
      <c r="G94" s="8"/>
    </row>
    <row r="95" spans="1:7" ht="54.95" customHeight="1" x14ac:dyDescent="0.25">
      <c r="A95" s="9">
        <v>92</v>
      </c>
      <c r="B95" s="10" t="s">
        <v>106</v>
      </c>
      <c r="C95" s="14" t="s">
        <v>22</v>
      </c>
      <c r="D95" s="5"/>
      <c r="E95" s="6"/>
      <c r="F95" s="12"/>
      <c r="G95" s="8"/>
    </row>
    <row r="96" spans="1:7" ht="54.95" customHeight="1" x14ac:dyDescent="0.25">
      <c r="A96" s="2">
        <v>93</v>
      </c>
      <c r="B96" s="3" t="s">
        <v>107</v>
      </c>
      <c r="C96" s="4" t="s">
        <v>10</v>
      </c>
      <c r="D96" s="5"/>
      <c r="E96" s="6"/>
      <c r="F96" s="7"/>
      <c r="G96" s="8"/>
    </row>
    <row r="97" spans="1:7" ht="54.95" customHeight="1" x14ac:dyDescent="0.25">
      <c r="A97" s="9">
        <v>94</v>
      </c>
      <c r="B97" s="10" t="s">
        <v>108</v>
      </c>
      <c r="C97" s="4" t="s">
        <v>10</v>
      </c>
      <c r="D97" s="5"/>
      <c r="E97" s="6"/>
      <c r="F97" s="12"/>
      <c r="G97" s="8"/>
    </row>
    <row r="98" spans="1:7" ht="54.95" customHeight="1" x14ac:dyDescent="0.25">
      <c r="A98" s="2">
        <v>95</v>
      </c>
      <c r="B98" s="3" t="s">
        <v>109</v>
      </c>
      <c r="C98" s="15" t="s">
        <v>26</v>
      </c>
      <c r="D98" s="5"/>
      <c r="E98" s="6"/>
      <c r="F98" s="7"/>
      <c r="G98" s="8"/>
    </row>
    <row r="99" spans="1:7" ht="54.95" customHeight="1" x14ac:dyDescent="0.25">
      <c r="A99" s="9">
        <v>96</v>
      </c>
      <c r="B99" s="10" t="s">
        <v>110</v>
      </c>
      <c r="C99" s="4" t="s">
        <v>10</v>
      </c>
      <c r="D99" s="5"/>
      <c r="E99" s="6"/>
      <c r="F99" s="12"/>
      <c r="G99" s="8"/>
    </row>
    <row r="100" spans="1:7" ht="54.95" customHeight="1" x14ac:dyDescent="0.25">
      <c r="A100" s="2">
        <v>97</v>
      </c>
      <c r="B100" s="3" t="s">
        <v>111</v>
      </c>
      <c r="C100" s="11" t="s">
        <v>12</v>
      </c>
      <c r="D100" s="5"/>
      <c r="E100" s="6"/>
      <c r="F100" s="7"/>
      <c r="G100" s="8"/>
    </row>
    <row r="101" spans="1:7" ht="54.95" customHeight="1" x14ac:dyDescent="0.25">
      <c r="A101" s="9">
        <v>98</v>
      </c>
      <c r="B101" s="10" t="s">
        <v>112</v>
      </c>
      <c r="C101" s="11" t="s">
        <v>12</v>
      </c>
      <c r="D101" s="5"/>
      <c r="E101" s="6"/>
      <c r="F101" s="12"/>
      <c r="G101" s="8"/>
    </row>
    <row r="102" spans="1:7" ht="54.95" customHeight="1" x14ac:dyDescent="0.25">
      <c r="A102" s="2">
        <v>99</v>
      </c>
      <c r="B102" s="3" t="s">
        <v>113</v>
      </c>
      <c r="C102" s="15" t="s">
        <v>26</v>
      </c>
      <c r="D102" s="5"/>
      <c r="E102" s="6"/>
      <c r="F102" s="7"/>
      <c r="G102" s="8"/>
    </row>
    <row r="103" spans="1:7" ht="54.95" customHeight="1" x14ac:dyDescent="0.25">
      <c r="A103" s="9">
        <v>100</v>
      </c>
      <c r="B103" s="10" t="s">
        <v>114</v>
      </c>
      <c r="C103" s="11" t="s">
        <v>12</v>
      </c>
      <c r="D103" s="5"/>
      <c r="E103" s="6"/>
      <c r="F103" s="12"/>
      <c r="G103" s="8"/>
    </row>
    <row r="104" spans="1:7" ht="54.95" customHeight="1" x14ac:dyDescent="0.25">
      <c r="A104" s="2">
        <v>101</v>
      </c>
      <c r="B104" s="3" t="s">
        <v>115</v>
      </c>
      <c r="C104" s="11" t="s">
        <v>12</v>
      </c>
      <c r="D104" s="5"/>
      <c r="E104" s="6"/>
      <c r="F104" s="7"/>
      <c r="G104" s="8"/>
    </row>
    <row r="105" spans="1:7" ht="54.95" customHeight="1" x14ac:dyDescent="0.25">
      <c r="A105" s="9">
        <v>102</v>
      </c>
      <c r="B105" s="10" t="s">
        <v>116</v>
      </c>
      <c r="C105" s="15" t="s">
        <v>26</v>
      </c>
      <c r="D105" s="5"/>
      <c r="E105" s="6"/>
      <c r="F105" s="12"/>
      <c r="G105" s="8"/>
    </row>
    <row r="106" spans="1:7" ht="54.95" customHeight="1" x14ac:dyDescent="0.25">
      <c r="A106" s="2">
        <v>103</v>
      </c>
      <c r="B106" s="3" t="s">
        <v>117</v>
      </c>
      <c r="C106" s="11" t="s">
        <v>12</v>
      </c>
      <c r="D106" s="5"/>
      <c r="E106" s="6"/>
      <c r="F106" s="7"/>
      <c r="G106" s="8"/>
    </row>
    <row r="107" spans="1:7" ht="54.95" customHeight="1" x14ac:dyDescent="0.25">
      <c r="A107" s="9">
        <v>104</v>
      </c>
      <c r="B107" s="10" t="s">
        <v>118</v>
      </c>
      <c r="C107" s="4" t="s">
        <v>10</v>
      </c>
      <c r="D107" s="5"/>
      <c r="E107" s="6"/>
      <c r="F107" s="12"/>
      <c r="G107" s="8"/>
    </row>
    <row r="108" spans="1:7" ht="54.95" customHeight="1" x14ac:dyDescent="0.25">
      <c r="A108" s="2">
        <v>105</v>
      </c>
      <c r="B108" s="3" t="s">
        <v>119</v>
      </c>
      <c r="C108" s="4" t="s">
        <v>10</v>
      </c>
      <c r="D108" s="5"/>
      <c r="E108" s="6"/>
      <c r="F108" s="7"/>
      <c r="G108" s="8"/>
    </row>
    <row r="109" spans="1:7" ht="54.95" customHeight="1" x14ac:dyDescent="0.25">
      <c r="A109" s="9">
        <v>106</v>
      </c>
      <c r="B109" s="10" t="s">
        <v>120</v>
      </c>
      <c r="C109" s="11" t="s">
        <v>12</v>
      </c>
      <c r="D109" s="5"/>
      <c r="E109" s="6"/>
      <c r="F109" s="12"/>
      <c r="G109" s="8"/>
    </row>
    <row r="110" spans="1:7" ht="54.95" customHeight="1" x14ac:dyDescent="0.25">
      <c r="A110" s="2">
        <v>107</v>
      </c>
      <c r="B110" s="3" t="s">
        <v>121</v>
      </c>
      <c r="C110" s="4" t="s">
        <v>10</v>
      </c>
      <c r="D110" s="5"/>
      <c r="E110" s="6"/>
      <c r="F110" s="7"/>
      <c r="G110" s="8"/>
    </row>
    <row r="111" spans="1:7" ht="54.95" customHeight="1" x14ac:dyDescent="0.25">
      <c r="A111" s="9">
        <v>108</v>
      </c>
      <c r="B111" s="10" t="s">
        <v>122</v>
      </c>
      <c r="C111" s="11" t="s">
        <v>12</v>
      </c>
      <c r="D111" s="5"/>
      <c r="E111" s="6"/>
      <c r="F111" s="12"/>
      <c r="G111" s="8"/>
    </row>
    <row r="112" spans="1:7" ht="54.95" customHeight="1" x14ac:dyDescent="0.25">
      <c r="A112" s="2">
        <v>109</v>
      </c>
      <c r="B112" s="3" t="s">
        <v>123</v>
      </c>
      <c r="C112" s="4" t="s">
        <v>10</v>
      </c>
      <c r="D112" s="5"/>
      <c r="E112" s="6"/>
      <c r="F112" s="7"/>
      <c r="G112" s="8"/>
    </row>
    <row r="113" spans="1:7" ht="54.95" customHeight="1" x14ac:dyDescent="0.25">
      <c r="A113" s="9">
        <v>110</v>
      </c>
      <c r="B113" s="10" t="s">
        <v>124</v>
      </c>
      <c r="C113" s="11" t="s">
        <v>12</v>
      </c>
      <c r="D113" s="5"/>
      <c r="E113" s="6"/>
      <c r="F113" s="12"/>
      <c r="G113" s="8"/>
    </row>
    <row r="114" spans="1:7" ht="54.95" customHeight="1" x14ac:dyDescent="0.25">
      <c r="A114" s="2">
        <v>111</v>
      </c>
      <c r="B114" s="3" t="s">
        <v>125</v>
      </c>
      <c r="C114" s="11" t="s">
        <v>12</v>
      </c>
      <c r="D114" s="5"/>
      <c r="E114" s="6"/>
      <c r="F114" s="7"/>
      <c r="G114" s="8"/>
    </row>
    <row r="115" spans="1:7" ht="54.95" customHeight="1" x14ac:dyDescent="0.25">
      <c r="A115" s="9">
        <v>112</v>
      </c>
      <c r="B115" s="10" t="s">
        <v>126</v>
      </c>
      <c r="C115" s="15" t="s">
        <v>26</v>
      </c>
      <c r="D115" s="5"/>
      <c r="E115" s="6"/>
      <c r="F115" s="12"/>
      <c r="G115" s="8"/>
    </row>
    <row r="116" spans="1:7" ht="54.95" customHeight="1" x14ac:dyDescent="0.25">
      <c r="A116" s="2">
        <v>113</v>
      </c>
      <c r="B116" s="3" t="s">
        <v>127</v>
      </c>
      <c r="C116" s="4" t="s">
        <v>10</v>
      </c>
      <c r="D116" s="5"/>
      <c r="E116" s="6"/>
      <c r="F116" s="7"/>
      <c r="G116" s="8"/>
    </row>
    <row r="117" spans="1:7" ht="54.95" customHeight="1" x14ac:dyDescent="0.25">
      <c r="A117" s="9">
        <v>114</v>
      </c>
      <c r="B117" s="10" t="s">
        <v>128</v>
      </c>
      <c r="C117" s="11" t="s">
        <v>12</v>
      </c>
      <c r="D117" s="5"/>
      <c r="E117" s="6"/>
      <c r="F117" s="12"/>
      <c r="G117" s="8"/>
    </row>
    <row r="118" spans="1:7" ht="54.95" customHeight="1" x14ac:dyDescent="0.25">
      <c r="A118" s="2">
        <v>115</v>
      </c>
      <c r="B118" s="3" t="s">
        <v>129</v>
      </c>
      <c r="C118" s="14" t="s">
        <v>22</v>
      </c>
      <c r="D118" s="5"/>
      <c r="E118" s="6"/>
      <c r="F118" s="7"/>
      <c r="G118" s="8"/>
    </row>
    <row r="119" spans="1:7" ht="54.95" customHeight="1" x14ac:dyDescent="0.25">
      <c r="A119" s="9">
        <v>116</v>
      </c>
      <c r="B119" s="10" t="s">
        <v>130</v>
      </c>
      <c r="C119" s="4" t="s">
        <v>10</v>
      </c>
      <c r="D119" s="5"/>
      <c r="E119" s="6"/>
      <c r="F119" s="12"/>
      <c r="G119" s="8"/>
    </row>
    <row r="120" spans="1:7" ht="54.95" customHeight="1" x14ac:dyDescent="0.25">
      <c r="A120" s="2">
        <v>117</v>
      </c>
      <c r="B120" s="3" t="s">
        <v>131</v>
      </c>
      <c r="C120" s="11" t="s">
        <v>12</v>
      </c>
      <c r="D120" s="5"/>
      <c r="E120" s="6"/>
      <c r="F120" s="7"/>
      <c r="G120" s="8"/>
    </row>
    <row r="121" spans="1:7" ht="54.95" customHeight="1" x14ac:dyDescent="0.25">
      <c r="A121" s="9">
        <v>118</v>
      </c>
      <c r="B121" s="10" t="s">
        <v>132</v>
      </c>
      <c r="C121" s="11" t="s">
        <v>12</v>
      </c>
      <c r="D121" s="5"/>
      <c r="E121" s="6"/>
      <c r="F121" s="12"/>
      <c r="G121" s="8"/>
    </row>
    <row r="122" spans="1:7" ht="54.95" customHeight="1" x14ac:dyDescent="0.25">
      <c r="A122" s="2">
        <v>119</v>
      </c>
      <c r="B122" s="3" t="s">
        <v>133</v>
      </c>
      <c r="C122" s="11" t="s">
        <v>12</v>
      </c>
      <c r="D122" s="5"/>
      <c r="E122" s="6"/>
      <c r="F122" s="7"/>
      <c r="G122" s="8"/>
    </row>
    <row r="123" spans="1:7" ht="54.95" customHeight="1" x14ac:dyDescent="0.25">
      <c r="A123" s="9">
        <v>120</v>
      </c>
      <c r="B123" s="10" t="s">
        <v>134</v>
      </c>
      <c r="C123" s="11" t="s">
        <v>12</v>
      </c>
      <c r="D123" s="5"/>
      <c r="E123" s="6"/>
      <c r="F123" s="12"/>
      <c r="G123" s="8"/>
    </row>
    <row r="124" spans="1:7" ht="54.95" customHeight="1" x14ac:dyDescent="0.25">
      <c r="A124" s="2">
        <v>121</v>
      </c>
      <c r="B124" s="3" t="s">
        <v>135</v>
      </c>
      <c r="C124" s="11" t="s">
        <v>12</v>
      </c>
      <c r="D124" s="5"/>
      <c r="E124" s="6"/>
      <c r="F124" s="7"/>
      <c r="G124" s="8"/>
    </row>
    <row r="125" spans="1:7" ht="54.95" customHeight="1" x14ac:dyDescent="0.25">
      <c r="A125" s="9">
        <v>122</v>
      </c>
      <c r="B125" s="10" t="s">
        <v>136</v>
      </c>
      <c r="C125" s="11" t="s">
        <v>12</v>
      </c>
      <c r="D125" s="5"/>
      <c r="E125" s="6"/>
      <c r="F125" s="12"/>
      <c r="G125" s="8"/>
    </row>
    <row r="126" spans="1:7" ht="54.95" customHeight="1" x14ac:dyDescent="0.25">
      <c r="A126" s="2">
        <v>123</v>
      </c>
      <c r="B126" s="3" t="s">
        <v>137</v>
      </c>
      <c r="C126" s="4" t="s">
        <v>10</v>
      </c>
      <c r="D126" s="5"/>
      <c r="E126" s="6"/>
      <c r="F126" s="7"/>
      <c r="G126" s="8"/>
    </row>
    <row r="127" spans="1:7" ht="54.95" customHeight="1" x14ac:dyDescent="0.25">
      <c r="A127" s="9">
        <v>124</v>
      </c>
      <c r="B127" s="10" t="s">
        <v>138</v>
      </c>
      <c r="C127" s="11" t="s">
        <v>12</v>
      </c>
      <c r="D127" s="5"/>
      <c r="E127" s="6"/>
      <c r="F127" s="12"/>
      <c r="G127" s="8"/>
    </row>
    <row r="128" spans="1:7" ht="54.95" customHeight="1" x14ac:dyDescent="0.25">
      <c r="A128" s="2">
        <v>125</v>
      </c>
      <c r="B128" s="3" t="s">
        <v>139</v>
      </c>
      <c r="C128" s="11" t="s">
        <v>12</v>
      </c>
      <c r="D128" s="5"/>
      <c r="E128" s="6"/>
      <c r="F128" s="7"/>
      <c r="G128" s="8"/>
    </row>
    <row r="129" spans="1:7" ht="54.95" customHeight="1" x14ac:dyDescent="0.25">
      <c r="A129" s="9">
        <v>126</v>
      </c>
      <c r="B129" s="10" t="s">
        <v>140</v>
      </c>
      <c r="C129" s="11" t="s">
        <v>12</v>
      </c>
      <c r="D129" s="5"/>
      <c r="E129" s="6"/>
      <c r="F129" s="12"/>
      <c r="G129" s="8"/>
    </row>
    <row r="130" spans="1:7" ht="54.95" customHeight="1" x14ac:dyDescent="0.25">
      <c r="A130" s="2">
        <v>127</v>
      </c>
      <c r="B130" s="3" t="s">
        <v>141</v>
      </c>
      <c r="C130" s="15" t="s">
        <v>26</v>
      </c>
      <c r="D130" s="5"/>
      <c r="E130" s="6"/>
      <c r="F130" s="7"/>
      <c r="G130" s="8"/>
    </row>
    <row r="131" spans="1:7" ht="54.95" customHeight="1" x14ac:dyDescent="0.25">
      <c r="A131" s="9">
        <v>128</v>
      </c>
      <c r="B131" s="10" t="s">
        <v>142</v>
      </c>
      <c r="C131" s="11" t="s">
        <v>12</v>
      </c>
      <c r="D131" s="5"/>
      <c r="E131" s="6"/>
      <c r="F131" s="12"/>
      <c r="G131" s="8"/>
    </row>
    <row r="132" spans="1:7" ht="54.95" customHeight="1" x14ac:dyDescent="0.25">
      <c r="A132" s="2">
        <v>129</v>
      </c>
      <c r="B132" s="3" t="s">
        <v>143</v>
      </c>
      <c r="C132" s="11" t="s">
        <v>12</v>
      </c>
      <c r="D132" s="5"/>
      <c r="E132" s="6"/>
      <c r="F132" s="7"/>
      <c r="G132" s="8"/>
    </row>
    <row r="133" spans="1:7" ht="54.95" customHeight="1" x14ac:dyDescent="0.25">
      <c r="A133" s="9">
        <v>130</v>
      </c>
      <c r="B133" s="10" t="s">
        <v>144</v>
      </c>
      <c r="C133" s="4" t="s">
        <v>10</v>
      </c>
      <c r="D133" s="5"/>
      <c r="E133" s="6"/>
      <c r="F133" s="12"/>
      <c r="G133" s="8"/>
    </row>
    <row r="134" spans="1:7" ht="54.95" customHeight="1" x14ac:dyDescent="0.25">
      <c r="A134" s="2">
        <v>131</v>
      </c>
      <c r="B134" s="3" t="s">
        <v>145</v>
      </c>
      <c r="C134" s="11" t="s">
        <v>12</v>
      </c>
      <c r="D134" s="5"/>
      <c r="E134" s="6"/>
      <c r="F134" s="7"/>
      <c r="G134" s="8"/>
    </row>
    <row r="135" spans="1:7" ht="54.95" customHeight="1" x14ac:dyDescent="0.25">
      <c r="A135" s="9">
        <v>132</v>
      </c>
      <c r="B135" s="10" t="s">
        <v>146</v>
      </c>
      <c r="C135" s="11" t="s">
        <v>12</v>
      </c>
      <c r="D135" s="5"/>
      <c r="E135" s="6"/>
      <c r="F135" s="12"/>
      <c r="G135" s="8"/>
    </row>
    <row r="136" spans="1:7" ht="54.95" customHeight="1" x14ac:dyDescent="0.25">
      <c r="A136" s="2">
        <v>133</v>
      </c>
      <c r="B136" s="3" t="s">
        <v>147</v>
      </c>
      <c r="C136" s="14" t="s">
        <v>22</v>
      </c>
      <c r="D136" s="5"/>
      <c r="E136" s="6"/>
      <c r="F136" s="7"/>
      <c r="G136" s="8"/>
    </row>
    <row r="137" spans="1:7" ht="54.95" customHeight="1" x14ac:dyDescent="0.25">
      <c r="A137" s="9">
        <v>134</v>
      </c>
      <c r="B137" s="10" t="s">
        <v>148</v>
      </c>
      <c r="C137" s="11" t="s">
        <v>12</v>
      </c>
      <c r="D137" s="5"/>
      <c r="E137" s="6"/>
      <c r="F137" s="12"/>
      <c r="G137" s="8"/>
    </row>
    <row r="138" spans="1:7" ht="54.95" customHeight="1" x14ac:dyDescent="0.25">
      <c r="A138" s="2">
        <v>135</v>
      </c>
      <c r="B138" s="3" t="s">
        <v>149</v>
      </c>
      <c r="C138" s="11" t="s">
        <v>12</v>
      </c>
      <c r="D138" s="5"/>
      <c r="E138" s="6"/>
      <c r="F138" s="7"/>
      <c r="G138" s="8"/>
    </row>
    <row r="139" spans="1:7" ht="54.95" customHeight="1" x14ac:dyDescent="0.25">
      <c r="A139" s="9">
        <v>136</v>
      </c>
      <c r="B139" s="10" t="s">
        <v>150</v>
      </c>
      <c r="C139" s="11" t="s">
        <v>12</v>
      </c>
      <c r="D139" s="5"/>
      <c r="E139" s="6"/>
      <c r="F139" s="12"/>
      <c r="G139" s="8"/>
    </row>
    <row r="140" spans="1:7" ht="54.95" customHeight="1" x14ac:dyDescent="0.25">
      <c r="A140" s="2">
        <v>137</v>
      </c>
      <c r="B140" s="3" t="s">
        <v>151</v>
      </c>
      <c r="C140" s="11" t="s">
        <v>12</v>
      </c>
      <c r="D140" s="5"/>
      <c r="E140" s="6"/>
      <c r="F140" s="7"/>
      <c r="G140" s="8"/>
    </row>
    <row r="141" spans="1:7" ht="54.95" customHeight="1" x14ac:dyDescent="0.25">
      <c r="A141" s="9">
        <v>138</v>
      </c>
      <c r="B141" s="10" t="s">
        <v>152</v>
      </c>
      <c r="C141" s="11" t="s">
        <v>12</v>
      </c>
      <c r="D141" s="5"/>
      <c r="E141" s="6"/>
      <c r="F141" s="12"/>
      <c r="G141" s="8"/>
    </row>
    <row r="142" spans="1:7" ht="54.95" customHeight="1" x14ac:dyDescent="0.25">
      <c r="A142" s="2">
        <v>139</v>
      </c>
      <c r="B142" s="3" t="s">
        <v>153</v>
      </c>
      <c r="C142" s="11" t="s">
        <v>12</v>
      </c>
      <c r="D142" s="5"/>
      <c r="E142" s="6"/>
      <c r="F142" s="7"/>
      <c r="G142" s="8"/>
    </row>
    <row r="143" spans="1:7" ht="54.95" customHeight="1" x14ac:dyDescent="0.25">
      <c r="A143" s="9">
        <v>140</v>
      </c>
      <c r="B143" s="10" t="s">
        <v>154</v>
      </c>
      <c r="C143" s="11" t="s">
        <v>12</v>
      </c>
      <c r="D143" s="5"/>
      <c r="E143" s="6"/>
      <c r="F143" s="12"/>
      <c r="G143" s="8"/>
    </row>
    <row r="144" spans="1:7" ht="54.95" customHeight="1" x14ac:dyDescent="0.25">
      <c r="A144" s="2">
        <v>141</v>
      </c>
      <c r="B144" s="3" t="s">
        <v>155</v>
      </c>
      <c r="C144" s="11" t="s">
        <v>12</v>
      </c>
      <c r="D144" s="5"/>
      <c r="E144" s="6"/>
      <c r="F144" s="7"/>
      <c r="G144" s="8"/>
    </row>
    <row r="145" spans="1:7" ht="54.95" customHeight="1" x14ac:dyDescent="0.25">
      <c r="A145" s="9">
        <v>142</v>
      </c>
      <c r="B145" s="10" t="s">
        <v>156</v>
      </c>
      <c r="C145" s="11" t="s">
        <v>12</v>
      </c>
      <c r="D145" s="5"/>
      <c r="E145" s="6"/>
      <c r="F145" s="12"/>
      <c r="G145" s="8"/>
    </row>
    <row r="146" spans="1:7" ht="54.95" customHeight="1" x14ac:dyDescent="0.25">
      <c r="A146" s="2">
        <v>143</v>
      </c>
      <c r="B146" s="3" t="s">
        <v>157</v>
      </c>
      <c r="C146" s="14" t="s">
        <v>22</v>
      </c>
      <c r="D146" s="5"/>
      <c r="E146" s="6"/>
      <c r="F146" s="7"/>
      <c r="G146" s="8"/>
    </row>
    <row r="147" spans="1:7" ht="54.95" customHeight="1" x14ac:dyDescent="0.25">
      <c r="A147" s="9">
        <v>144</v>
      </c>
      <c r="B147" s="10" t="s">
        <v>158</v>
      </c>
      <c r="C147" s="11" t="s">
        <v>12</v>
      </c>
      <c r="D147" s="5"/>
      <c r="E147" s="6"/>
      <c r="F147" s="12"/>
      <c r="G147" s="8"/>
    </row>
    <row r="148" spans="1:7" ht="54.95" customHeight="1" x14ac:dyDescent="0.25">
      <c r="A148" s="2">
        <v>145</v>
      </c>
      <c r="B148" s="3" t="s">
        <v>159</v>
      </c>
      <c r="C148" s="11" t="s">
        <v>12</v>
      </c>
      <c r="D148" s="5"/>
      <c r="E148" s="6"/>
      <c r="F148" s="7"/>
      <c r="G148" s="8"/>
    </row>
    <row r="149" spans="1:7" ht="54.95" customHeight="1" x14ac:dyDescent="0.25">
      <c r="A149" s="9">
        <v>146</v>
      </c>
      <c r="B149" s="10" t="s">
        <v>160</v>
      </c>
      <c r="C149" s="11" t="s">
        <v>12</v>
      </c>
      <c r="D149" s="5"/>
      <c r="E149" s="6"/>
      <c r="F149" s="12"/>
      <c r="G149" s="8"/>
    </row>
    <row r="150" spans="1:7" ht="54.95" customHeight="1" x14ac:dyDescent="0.25">
      <c r="A150" s="2">
        <v>147</v>
      </c>
      <c r="B150" s="3" t="s">
        <v>161</v>
      </c>
      <c r="C150" s="11" t="s">
        <v>12</v>
      </c>
      <c r="D150" s="5"/>
      <c r="E150" s="6"/>
      <c r="F150" s="7"/>
      <c r="G150" s="8"/>
    </row>
    <row r="151" spans="1:7" ht="54.95" customHeight="1" x14ac:dyDescent="0.25">
      <c r="A151" s="9">
        <v>148</v>
      </c>
      <c r="B151" s="10" t="s">
        <v>162</v>
      </c>
      <c r="C151" s="11" t="s">
        <v>12</v>
      </c>
      <c r="D151" s="5"/>
      <c r="E151" s="6"/>
      <c r="F151" s="12"/>
      <c r="G151" s="8"/>
    </row>
    <row r="152" spans="1:7" ht="54.95" customHeight="1" x14ac:dyDescent="0.25">
      <c r="A152" s="2">
        <v>149</v>
      </c>
      <c r="B152" s="3" t="s">
        <v>163</v>
      </c>
      <c r="C152" s="11" t="s">
        <v>12</v>
      </c>
      <c r="D152" s="5"/>
      <c r="E152" s="6"/>
      <c r="F152" s="7"/>
      <c r="G152" s="8"/>
    </row>
    <row r="153" spans="1:7" ht="54.95" customHeight="1" x14ac:dyDescent="0.25">
      <c r="A153" s="9">
        <v>150</v>
      </c>
      <c r="B153" s="10" t="s">
        <v>164</v>
      </c>
      <c r="C153" s="15" t="s">
        <v>26</v>
      </c>
      <c r="D153" s="5"/>
      <c r="E153" s="6"/>
      <c r="F153" s="12"/>
      <c r="G153" s="8"/>
    </row>
    <row r="154" spans="1:7" ht="54.95" customHeight="1" x14ac:dyDescent="0.25">
      <c r="A154" s="2">
        <v>151</v>
      </c>
      <c r="B154" s="3" t="s">
        <v>165</v>
      </c>
      <c r="C154" s="11" t="s">
        <v>12</v>
      </c>
      <c r="D154" s="5"/>
      <c r="E154" s="6"/>
      <c r="F154" s="7"/>
      <c r="G154" s="8"/>
    </row>
    <row r="155" spans="1:7" ht="54.95" customHeight="1" x14ac:dyDescent="0.25">
      <c r="A155" s="9">
        <v>152</v>
      </c>
      <c r="B155" s="10" t="s">
        <v>166</v>
      </c>
      <c r="C155" s="11" t="s">
        <v>12</v>
      </c>
      <c r="D155" s="5"/>
      <c r="E155" s="6"/>
      <c r="F155" s="12"/>
      <c r="G155" s="8"/>
    </row>
    <row r="156" spans="1:7" ht="54.95" customHeight="1" x14ac:dyDescent="0.25">
      <c r="A156" s="2">
        <v>153</v>
      </c>
      <c r="B156" s="3" t="s">
        <v>167</v>
      </c>
      <c r="C156" s="11" t="s">
        <v>12</v>
      </c>
      <c r="D156" s="5"/>
      <c r="E156" s="6"/>
      <c r="F156" s="7"/>
      <c r="G156" s="8"/>
    </row>
    <row r="157" spans="1:7" ht="54.95" customHeight="1" x14ac:dyDescent="0.25">
      <c r="A157" s="9">
        <v>154</v>
      </c>
      <c r="B157" s="10" t="s">
        <v>168</v>
      </c>
      <c r="C157" s="11" t="s">
        <v>12</v>
      </c>
      <c r="D157" s="5"/>
      <c r="E157" s="6"/>
      <c r="F157" s="12"/>
      <c r="G157" s="8"/>
    </row>
    <row r="158" spans="1:7" ht="54.95" customHeight="1" x14ac:dyDescent="0.25">
      <c r="A158" s="2">
        <v>155</v>
      </c>
      <c r="B158" s="3" t="s">
        <v>169</v>
      </c>
      <c r="C158" s="14" t="s">
        <v>22</v>
      </c>
      <c r="D158" s="5"/>
      <c r="E158" s="6"/>
      <c r="F158" s="7"/>
      <c r="G158" s="8"/>
    </row>
    <row r="159" spans="1:7" ht="54.95" customHeight="1" x14ac:dyDescent="0.25">
      <c r="A159" s="9">
        <v>156</v>
      </c>
      <c r="B159" s="10" t="s">
        <v>170</v>
      </c>
      <c r="C159" s="4" t="s">
        <v>10</v>
      </c>
      <c r="D159" s="5"/>
      <c r="E159" s="6"/>
      <c r="F159" s="12"/>
      <c r="G159" s="8"/>
    </row>
    <row r="160" spans="1:7" ht="54.95" customHeight="1" x14ac:dyDescent="0.25">
      <c r="A160" s="2">
        <v>157</v>
      </c>
      <c r="B160" s="3" t="s">
        <v>171</v>
      </c>
      <c r="C160" s="11" t="s">
        <v>12</v>
      </c>
      <c r="D160" s="5"/>
      <c r="E160" s="6"/>
      <c r="F160" s="7"/>
      <c r="G160" s="8"/>
    </row>
    <row r="161" spans="1:7" ht="54.95" customHeight="1" x14ac:dyDescent="0.25">
      <c r="A161" s="9">
        <v>158</v>
      </c>
      <c r="B161" s="10" t="s">
        <v>172</v>
      </c>
      <c r="C161" s="11" t="s">
        <v>12</v>
      </c>
      <c r="D161" s="5"/>
      <c r="E161" s="6"/>
      <c r="F161" s="12"/>
      <c r="G161" s="8"/>
    </row>
    <row r="162" spans="1:7" ht="54.95" customHeight="1" x14ac:dyDescent="0.25">
      <c r="A162" s="2">
        <v>159</v>
      </c>
      <c r="B162" s="3" t="s">
        <v>173</v>
      </c>
      <c r="C162" s="15" t="s">
        <v>26</v>
      </c>
      <c r="D162" s="5"/>
      <c r="E162" s="6"/>
      <c r="F162" s="7"/>
      <c r="G162" s="8"/>
    </row>
    <row r="163" spans="1:7" ht="54.95" customHeight="1" x14ac:dyDescent="0.25">
      <c r="A163" s="9">
        <v>160</v>
      </c>
      <c r="B163" s="10" t="s">
        <v>174</v>
      </c>
      <c r="C163" s="11" t="s">
        <v>12</v>
      </c>
      <c r="D163" s="5"/>
      <c r="E163" s="6"/>
      <c r="F163" s="12"/>
      <c r="G163" s="8"/>
    </row>
    <row r="164" spans="1:7" ht="54.95" customHeight="1" x14ac:dyDescent="0.25">
      <c r="A164" s="2">
        <v>161</v>
      </c>
      <c r="B164" s="3" t="s">
        <v>175</v>
      </c>
      <c r="C164" s="11" t="s">
        <v>12</v>
      </c>
      <c r="D164" s="5"/>
      <c r="E164" s="6"/>
      <c r="F164" s="7"/>
      <c r="G164" s="8"/>
    </row>
    <row r="165" spans="1:7" ht="54.95" customHeight="1" x14ac:dyDescent="0.25">
      <c r="A165" s="9">
        <v>162</v>
      </c>
      <c r="B165" s="10" t="s">
        <v>176</v>
      </c>
      <c r="C165" s="4" t="s">
        <v>10</v>
      </c>
      <c r="D165" s="5"/>
      <c r="E165" s="6"/>
      <c r="F165" s="12"/>
      <c r="G165" s="8"/>
    </row>
    <row r="166" spans="1:7" ht="54.95" customHeight="1" x14ac:dyDescent="0.25">
      <c r="A166" s="2">
        <v>163</v>
      </c>
      <c r="B166" s="3" t="s">
        <v>177</v>
      </c>
      <c r="C166" s="15" t="s">
        <v>26</v>
      </c>
      <c r="D166" s="5"/>
      <c r="E166" s="6"/>
      <c r="F166" s="7"/>
      <c r="G166" s="8"/>
    </row>
    <row r="167" spans="1:7" ht="54.95" customHeight="1" x14ac:dyDescent="0.25">
      <c r="A167" s="9">
        <v>164</v>
      </c>
      <c r="B167" s="10" t="s">
        <v>178</v>
      </c>
      <c r="C167" s="11" t="s">
        <v>12</v>
      </c>
      <c r="D167" s="5"/>
      <c r="E167" s="6"/>
      <c r="F167" s="12"/>
      <c r="G167" s="8"/>
    </row>
    <row r="168" spans="1:7" ht="54.95" customHeight="1" x14ac:dyDescent="0.25">
      <c r="A168" s="2">
        <v>165</v>
      </c>
      <c r="B168" s="3" t="s">
        <v>179</v>
      </c>
      <c r="C168" s="15" t="s">
        <v>26</v>
      </c>
      <c r="D168" s="5"/>
      <c r="E168" s="6"/>
      <c r="F168" s="7"/>
      <c r="G168" s="8"/>
    </row>
    <row r="169" spans="1:7" ht="54.95" customHeight="1" x14ac:dyDescent="0.25">
      <c r="A169" s="9">
        <v>166</v>
      </c>
      <c r="B169" s="10" t="s">
        <v>180</v>
      </c>
      <c r="C169" s="14" t="s">
        <v>22</v>
      </c>
      <c r="D169" s="5"/>
      <c r="E169" s="6"/>
      <c r="F169" s="12"/>
      <c r="G169" s="8"/>
    </row>
    <row r="170" spans="1:7" ht="54.95" customHeight="1" x14ac:dyDescent="0.25">
      <c r="A170" s="2">
        <v>167</v>
      </c>
      <c r="B170" s="3" t="s">
        <v>181</v>
      </c>
      <c r="C170" s="11" t="s">
        <v>12</v>
      </c>
      <c r="D170" s="5"/>
      <c r="E170" s="6"/>
      <c r="F170" s="7"/>
      <c r="G170" s="8"/>
    </row>
    <row r="171" spans="1:7" ht="54.95" customHeight="1" x14ac:dyDescent="0.25">
      <c r="A171" s="9">
        <v>168</v>
      </c>
      <c r="B171" s="10" t="s">
        <v>182</v>
      </c>
      <c r="C171" s="11" t="s">
        <v>12</v>
      </c>
      <c r="D171" s="5"/>
      <c r="E171" s="6"/>
      <c r="F171" s="12"/>
      <c r="G171" s="8"/>
    </row>
    <row r="172" spans="1:7" ht="54.95" customHeight="1" x14ac:dyDescent="0.25">
      <c r="A172" s="2">
        <v>169</v>
      </c>
      <c r="B172" s="3" t="s">
        <v>183</v>
      </c>
      <c r="C172" s="14" t="s">
        <v>22</v>
      </c>
      <c r="D172" s="5"/>
      <c r="E172" s="6"/>
      <c r="F172" s="7"/>
      <c r="G172" s="8"/>
    </row>
    <row r="173" spans="1:7" ht="54.95" customHeight="1" x14ac:dyDescent="0.25">
      <c r="A173" s="9">
        <v>170</v>
      </c>
      <c r="B173" s="10" t="s">
        <v>184</v>
      </c>
      <c r="C173" s="11" t="s">
        <v>12</v>
      </c>
      <c r="D173" s="5"/>
      <c r="E173" s="6"/>
      <c r="F173" s="12"/>
      <c r="G173" s="8"/>
    </row>
    <row r="174" spans="1:7" ht="54.95" customHeight="1" x14ac:dyDescent="0.25">
      <c r="A174" s="2">
        <v>171</v>
      </c>
      <c r="B174" s="3" t="s">
        <v>185</v>
      </c>
      <c r="C174" s="11" t="s">
        <v>12</v>
      </c>
      <c r="D174" s="5"/>
      <c r="E174" s="6"/>
      <c r="F174" s="7"/>
      <c r="G174" s="8"/>
    </row>
    <row r="175" spans="1:7" ht="54.95" customHeight="1" x14ac:dyDescent="0.25">
      <c r="A175" s="9">
        <v>172</v>
      </c>
      <c r="B175" s="10" t="s">
        <v>186</v>
      </c>
      <c r="C175" s="11" t="s">
        <v>12</v>
      </c>
      <c r="D175" s="5"/>
      <c r="E175" s="6"/>
      <c r="F175" s="12"/>
      <c r="G175" s="8"/>
    </row>
    <row r="176" spans="1:7" ht="54.95" customHeight="1" x14ac:dyDescent="0.25">
      <c r="A176" s="2">
        <v>173</v>
      </c>
      <c r="B176" s="3" t="s">
        <v>187</v>
      </c>
      <c r="C176" s="16" t="s">
        <v>31</v>
      </c>
      <c r="D176" s="5"/>
      <c r="E176" s="6"/>
      <c r="F176" s="7"/>
      <c r="G176" s="8"/>
    </row>
    <row r="177" spans="1:7" ht="54.95" customHeight="1" x14ac:dyDescent="0.25">
      <c r="A177" s="9">
        <v>174</v>
      </c>
      <c r="B177" s="10" t="s">
        <v>188</v>
      </c>
      <c r="C177" s="11" t="s">
        <v>12</v>
      </c>
      <c r="D177" s="5"/>
      <c r="E177" s="6"/>
      <c r="F177" s="12"/>
      <c r="G177" s="8"/>
    </row>
    <row r="178" spans="1:7" ht="54.95" customHeight="1" x14ac:dyDescent="0.25">
      <c r="A178" s="2">
        <v>175</v>
      </c>
      <c r="B178" s="3" t="s">
        <v>189</v>
      </c>
      <c r="C178" s="11" t="s">
        <v>12</v>
      </c>
      <c r="D178" s="5"/>
      <c r="E178" s="6"/>
      <c r="F178" s="7"/>
      <c r="G178" s="8"/>
    </row>
    <row r="179" spans="1:7" ht="54.95" customHeight="1" x14ac:dyDescent="0.25">
      <c r="A179" s="9">
        <v>176</v>
      </c>
      <c r="B179" s="10" t="s">
        <v>190</v>
      </c>
      <c r="C179" s="11" t="s">
        <v>12</v>
      </c>
      <c r="D179" s="5"/>
      <c r="E179" s="6"/>
      <c r="F179" s="12"/>
      <c r="G179" s="8"/>
    </row>
    <row r="180" spans="1:7" ht="54.95" customHeight="1" x14ac:dyDescent="0.25">
      <c r="A180" s="2">
        <v>177</v>
      </c>
      <c r="B180" s="3" t="s">
        <v>191</v>
      </c>
      <c r="C180" s="13" t="s">
        <v>14</v>
      </c>
      <c r="D180" s="5"/>
      <c r="E180" s="6"/>
      <c r="F180" s="7"/>
      <c r="G180" s="8"/>
    </row>
    <row r="181" spans="1:7" ht="54.95" customHeight="1" x14ac:dyDescent="0.25">
      <c r="A181" s="9">
        <v>178</v>
      </c>
      <c r="B181" s="10" t="s">
        <v>192</v>
      </c>
      <c r="C181" s="11" t="s">
        <v>12</v>
      </c>
      <c r="D181" s="5"/>
      <c r="E181" s="6"/>
      <c r="F181" s="12"/>
      <c r="G181" s="8"/>
    </row>
    <row r="182" spans="1:7" ht="54.95" customHeight="1" x14ac:dyDescent="0.25">
      <c r="A182" s="2">
        <v>179</v>
      </c>
      <c r="B182" s="3" t="s">
        <v>193</v>
      </c>
      <c r="C182" s="11" t="s">
        <v>12</v>
      </c>
      <c r="D182" s="5"/>
      <c r="E182" s="6"/>
      <c r="F182" s="7"/>
      <c r="G182" s="8"/>
    </row>
    <row r="183" spans="1:7" ht="54.95" customHeight="1" x14ac:dyDescent="0.25">
      <c r="A183" s="9">
        <v>180</v>
      </c>
      <c r="B183" s="10" t="s">
        <v>194</v>
      </c>
      <c r="C183" s="13" t="s">
        <v>14</v>
      </c>
      <c r="D183" s="5"/>
      <c r="E183" s="6"/>
      <c r="F183" s="12"/>
      <c r="G183" s="8"/>
    </row>
    <row r="184" spans="1:7" ht="54.95" customHeight="1" x14ac:dyDescent="0.25">
      <c r="A184" s="2">
        <v>181</v>
      </c>
      <c r="B184" s="3" t="s">
        <v>195</v>
      </c>
      <c r="C184" s="13" t="s">
        <v>14</v>
      </c>
      <c r="D184" s="5"/>
      <c r="E184" s="6"/>
      <c r="F184" s="7"/>
      <c r="G184" s="8"/>
    </row>
    <row r="185" spans="1:7" ht="54.95" customHeight="1" x14ac:dyDescent="0.25">
      <c r="A185" s="9">
        <v>182</v>
      </c>
      <c r="B185" s="10" t="s">
        <v>196</v>
      </c>
      <c r="C185" s="11" t="s">
        <v>12</v>
      </c>
      <c r="D185" s="5"/>
      <c r="E185" s="6"/>
      <c r="F185" s="12"/>
      <c r="G185" s="8"/>
    </row>
    <row r="186" spans="1:7" ht="54.95" customHeight="1" x14ac:dyDescent="0.25">
      <c r="A186" s="2">
        <v>183</v>
      </c>
      <c r="B186" s="3" t="s">
        <v>197</v>
      </c>
      <c r="C186" s="13" t="s">
        <v>14</v>
      </c>
      <c r="D186" s="5"/>
      <c r="E186" s="6"/>
      <c r="F186" s="7"/>
      <c r="G186" s="8"/>
    </row>
    <row r="187" spans="1:7" ht="54.95" customHeight="1" x14ac:dyDescent="0.25">
      <c r="A187" s="9">
        <v>184</v>
      </c>
      <c r="B187" s="10" t="s">
        <v>198</v>
      </c>
      <c r="C187" s="4" t="s">
        <v>10</v>
      </c>
      <c r="D187" s="5"/>
      <c r="E187" s="6"/>
      <c r="F187" s="12"/>
      <c r="G187" s="8"/>
    </row>
    <row r="188" spans="1:7" ht="54.95" customHeight="1" x14ac:dyDescent="0.25">
      <c r="A188" s="2">
        <v>185</v>
      </c>
      <c r="B188" s="3" t="s">
        <v>199</v>
      </c>
      <c r="C188" s="14" t="s">
        <v>22</v>
      </c>
      <c r="D188" s="5"/>
      <c r="E188" s="6"/>
      <c r="F188" s="7"/>
      <c r="G188" s="8"/>
    </row>
    <row r="189" spans="1:7" ht="54.95" customHeight="1" x14ac:dyDescent="0.25">
      <c r="A189" s="9">
        <v>186</v>
      </c>
      <c r="B189" s="10" t="s">
        <v>200</v>
      </c>
      <c r="C189" s="11" t="s">
        <v>12</v>
      </c>
      <c r="D189" s="5"/>
      <c r="E189" s="6"/>
      <c r="F189" s="12"/>
      <c r="G189" s="8"/>
    </row>
    <row r="190" spans="1:7" ht="54.95" customHeight="1" x14ac:dyDescent="0.25">
      <c r="A190" s="2">
        <v>187</v>
      </c>
      <c r="B190" s="3" t="s">
        <v>201</v>
      </c>
      <c r="C190" s="13" t="s">
        <v>14</v>
      </c>
      <c r="D190" s="5"/>
      <c r="E190" s="6"/>
      <c r="F190" s="7"/>
      <c r="G190" s="8"/>
    </row>
    <row r="191" spans="1:7" ht="54.95" customHeight="1" x14ac:dyDescent="0.25">
      <c r="A191" s="9">
        <v>188</v>
      </c>
      <c r="B191" s="10" t="s">
        <v>202</v>
      </c>
      <c r="C191" s="11" t="s">
        <v>12</v>
      </c>
      <c r="D191" s="5"/>
      <c r="E191" s="6"/>
      <c r="F191" s="12"/>
      <c r="G191" s="8"/>
    </row>
    <row r="192" spans="1:7" ht="54.95" customHeight="1" x14ac:dyDescent="0.25">
      <c r="A192" s="2">
        <v>189</v>
      </c>
      <c r="B192" s="3" t="s">
        <v>203</v>
      </c>
      <c r="C192" s="11" t="s">
        <v>12</v>
      </c>
      <c r="D192" s="5"/>
      <c r="E192" s="6"/>
      <c r="F192" s="7"/>
      <c r="G192" s="8"/>
    </row>
    <row r="193" spans="1:7" ht="54.95" customHeight="1" x14ac:dyDescent="0.25">
      <c r="A193" s="9">
        <v>190</v>
      </c>
      <c r="B193" s="10" t="s">
        <v>204</v>
      </c>
      <c r="C193" s="11" t="s">
        <v>12</v>
      </c>
      <c r="D193" s="5"/>
      <c r="E193" s="6"/>
      <c r="F193" s="12"/>
      <c r="G193" s="8"/>
    </row>
    <row r="194" spans="1:7" ht="54.95" customHeight="1" x14ac:dyDescent="0.25">
      <c r="A194" s="2">
        <v>191</v>
      </c>
      <c r="B194" s="3" t="s">
        <v>205</v>
      </c>
      <c r="C194" s="16" t="s">
        <v>31</v>
      </c>
      <c r="D194" s="5"/>
      <c r="E194" s="6"/>
      <c r="F194" s="7"/>
      <c r="G194" s="8"/>
    </row>
    <row r="195" spans="1:7" ht="54.95" customHeight="1" x14ac:dyDescent="0.25">
      <c r="A195" s="9">
        <v>192</v>
      </c>
      <c r="B195" s="10" t="s">
        <v>206</v>
      </c>
      <c r="C195" s="13" t="s">
        <v>14</v>
      </c>
      <c r="D195" s="5"/>
      <c r="E195" s="6"/>
      <c r="F195" s="12"/>
      <c r="G195" s="8"/>
    </row>
    <row r="196" spans="1:7" ht="54.95" customHeight="1" x14ac:dyDescent="0.25">
      <c r="A196" s="2">
        <v>193</v>
      </c>
      <c r="B196" s="3" t="s">
        <v>207</v>
      </c>
      <c r="C196" s="13" t="s">
        <v>14</v>
      </c>
      <c r="D196" s="5"/>
      <c r="E196" s="6"/>
      <c r="F196" s="7"/>
      <c r="G196" s="8"/>
    </row>
    <row r="197" spans="1:7" ht="54.95" customHeight="1" x14ac:dyDescent="0.25">
      <c r="A197" s="9">
        <v>194</v>
      </c>
      <c r="B197" s="10" t="s">
        <v>208</v>
      </c>
      <c r="C197" s="11" t="s">
        <v>12</v>
      </c>
      <c r="D197" s="5"/>
      <c r="E197" s="6"/>
      <c r="F197" s="12"/>
      <c r="G197" s="8"/>
    </row>
    <row r="198" spans="1:7" ht="54.95" customHeight="1" x14ac:dyDescent="0.25">
      <c r="A198" s="2">
        <v>195</v>
      </c>
      <c r="B198" s="3" t="s">
        <v>209</v>
      </c>
      <c r="C198" s="11" t="s">
        <v>12</v>
      </c>
      <c r="D198" s="5"/>
      <c r="E198" s="6"/>
      <c r="F198" s="7"/>
      <c r="G198" s="8"/>
    </row>
    <row r="199" spans="1:7" ht="54.95" customHeight="1" x14ac:dyDescent="0.25">
      <c r="A199" s="9">
        <v>196</v>
      </c>
      <c r="B199" s="10" t="s">
        <v>210</v>
      </c>
      <c r="C199" s="11" t="s">
        <v>12</v>
      </c>
      <c r="D199" s="5"/>
      <c r="E199" s="6"/>
      <c r="F199" s="12"/>
      <c r="G199" s="8"/>
    </row>
    <row r="200" spans="1:7" ht="54.95" customHeight="1" x14ac:dyDescent="0.25">
      <c r="A200" s="2">
        <v>197</v>
      </c>
      <c r="B200" s="3" t="s">
        <v>211</v>
      </c>
      <c r="C200" s="11" t="s">
        <v>12</v>
      </c>
      <c r="D200" s="5"/>
      <c r="E200" s="6"/>
      <c r="F200" s="7"/>
      <c r="G200" s="8"/>
    </row>
    <row r="201" spans="1:7" ht="54.95" customHeight="1" x14ac:dyDescent="0.25">
      <c r="A201" s="9">
        <v>198</v>
      </c>
      <c r="B201" s="10" t="s">
        <v>212</v>
      </c>
      <c r="C201" s="11" t="s">
        <v>12</v>
      </c>
      <c r="D201" s="5"/>
      <c r="E201" s="6"/>
      <c r="F201" s="12"/>
      <c r="G201" s="8"/>
    </row>
    <row r="202" spans="1:7" ht="54.95" customHeight="1" x14ac:dyDescent="0.25">
      <c r="A202" s="2">
        <v>199</v>
      </c>
      <c r="B202" s="3" t="s">
        <v>213</v>
      </c>
      <c r="C202" s="11" t="s">
        <v>12</v>
      </c>
      <c r="D202" s="5"/>
      <c r="E202" s="6"/>
      <c r="F202" s="7"/>
      <c r="G202" s="8"/>
    </row>
    <row r="203" spans="1:7" ht="54.95" customHeight="1" x14ac:dyDescent="0.25">
      <c r="A203" s="9">
        <v>200</v>
      </c>
      <c r="B203" s="10" t="s">
        <v>214</v>
      </c>
      <c r="C203" s="13" t="s">
        <v>14</v>
      </c>
      <c r="D203" s="5"/>
      <c r="E203" s="6"/>
      <c r="F203" s="12"/>
      <c r="G203" s="8"/>
    </row>
    <row r="204" spans="1:7" ht="54.95" customHeight="1" x14ac:dyDescent="0.25">
      <c r="A204" s="2">
        <v>201</v>
      </c>
      <c r="B204" s="3" t="s">
        <v>215</v>
      </c>
      <c r="C204" s="14" t="s">
        <v>22</v>
      </c>
      <c r="D204" s="5"/>
      <c r="E204" s="6"/>
      <c r="F204" s="7"/>
      <c r="G204" s="8"/>
    </row>
    <row r="205" spans="1:7" ht="54.95" customHeight="1" x14ac:dyDescent="0.25">
      <c r="A205" s="9">
        <v>202</v>
      </c>
      <c r="B205" s="10" t="s">
        <v>216</v>
      </c>
      <c r="C205" s="11" t="s">
        <v>12</v>
      </c>
      <c r="D205" s="5"/>
      <c r="E205" s="6"/>
      <c r="F205" s="12"/>
      <c r="G205" s="8"/>
    </row>
    <row r="206" spans="1:7" ht="54.95" customHeight="1" x14ac:dyDescent="0.25">
      <c r="A206" s="2">
        <v>203</v>
      </c>
      <c r="B206" s="3" t="s">
        <v>217</v>
      </c>
      <c r="C206" s="11" t="s">
        <v>12</v>
      </c>
      <c r="D206" s="5"/>
      <c r="E206" s="6"/>
      <c r="F206" s="7"/>
      <c r="G206" s="8"/>
    </row>
    <row r="207" spans="1:7" ht="54.95" customHeight="1" x14ac:dyDescent="0.25">
      <c r="A207" s="9">
        <v>204</v>
      </c>
      <c r="B207" s="10" t="s">
        <v>218</v>
      </c>
      <c r="C207" s="11" t="s">
        <v>12</v>
      </c>
      <c r="D207" s="5"/>
      <c r="E207" s="6"/>
      <c r="F207" s="12"/>
      <c r="G207" s="8"/>
    </row>
    <row r="208" spans="1:7" ht="54.95" customHeight="1" x14ac:dyDescent="0.25">
      <c r="A208" s="2">
        <v>205</v>
      </c>
      <c r="B208" s="3" t="s">
        <v>219</v>
      </c>
      <c r="C208" s="11" t="s">
        <v>12</v>
      </c>
      <c r="D208" s="5"/>
      <c r="E208" s="6"/>
      <c r="F208" s="7"/>
      <c r="G208" s="8"/>
    </row>
    <row r="209" spans="1:7" ht="54.95" customHeight="1" x14ac:dyDescent="0.25">
      <c r="A209" s="9">
        <v>206</v>
      </c>
      <c r="B209" s="10" t="s">
        <v>220</v>
      </c>
      <c r="C209" s="11" t="s">
        <v>12</v>
      </c>
      <c r="D209" s="5"/>
      <c r="E209" s="6"/>
      <c r="F209" s="12"/>
      <c r="G209" s="8"/>
    </row>
    <row r="210" spans="1:7" ht="54.95" customHeight="1" x14ac:dyDescent="0.25">
      <c r="A210" s="2">
        <v>207</v>
      </c>
      <c r="B210" s="3" t="s">
        <v>221</v>
      </c>
      <c r="C210" s="11" t="s">
        <v>12</v>
      </c>
      <c r="D210" s="5"/>
      <c r="E210" s="6"/>
      <c r="F210" s="7"/>
      <c r="G210" s="8"/>
    </row>
    <row r="211" spans="1:7" ht="54.95" customHeight="1" x14ac:dyDescent="0.25">
      <c r="A211" s="9">
        <v>208</v>
      </c>
      <c r="B211" s="10" t="s">
        <v>222</v>
      </c>
      <c r="C211" s="11" t="s">
        <v>12</v>
      </c>
      <c r="D211" s="5"/>
      <c r="E211" s="6"/>
      <c r="F211" s="12"/>
      <c r="G211" s="8"/>
    </row>
    <row r="212" spans="1:7" ht="54.95" customHeight="1" x14ac:dyDescent="0.25">
      <c r="A212" s="2">
        <v>209</v>
      </c>
      <c r="B212" s="3" t="s">
        <v>223</v>
      </c>
      <c r="C212" s="14" t="s">
        <v>22</v>
      </c>
      <c r="D212" s="5"/>
      <c r="E212" s="6"/>
      <c r="F212" s="7"/>
      <c r="G212" s="8"/>
    </row>
    <row r="213" spans="1:7" ht="54.95" customHeight="1" x14ac:dyDescent="0.25">
      <c r="A213" s="9">
        <v>210</v>
      </c>
      <c r="B213" s="10" t="s">
        <v>224</v>
      </c>
      <c r="C213" s="4" t="s">
        <v>10</v>
      </c>
      <c r="D213" s="5"/>
      <c r="E213" s="6"/>
      <c r="F213" s="12"/>
      <c r="G213" s="8"/>
    </row>
    <row r="214" spans="1:7" ht="54.95" customHeight="1" x14ac:dyDescent="0.25">
      <c r="A214" s="2">
        <v>211</v>
      </c>
      <c r="B214" s="3" t="s">
        <v>225</v>
      </c>
      <c r="C214" s="11" t="s">
        <v>12</v>
      </c>
      <c r="D214" s="5"/>
      <c r="E214" s="6"/>
      <c r="F214" s="7"/>
      <c r="G214" s="8"/>
    </row>
    <row r="215" spans="1:7" ht="54.95" customHeight="1" x14ac:dyDescent="0.25">
      <c r="A215" s="9">
        <v>212</v>
      </c>
      <c r="B215" s="10" t="s">
        <v>226</v>
      </c>
      <c r="C215" s="11" t="s">
        <v>12</v>
      </c>
      <c r="D215" s="5"/>
      <c r="E215" s="6"/>
      <c r="F215" s="12"/>
      <c r="G215" s="8"/>
    </row>
    <row r="216" spans="1:7" ht="54.95" customHeight="1" x14ac:dyDescent="0.25">
      <c r="A216" s="2">
        <v>213</v>
      </c>
      <c r="B216" s="3" t="s">
        <v>227</v>
      </c>
      <c r="C216" s="4" t="s">
        <v>10</v>
      </c>
      <c r="D216" s="5"/>
      <c r="E216" s="6"/>
      <c r="F216" s="7"/>
      <c r="G216" s="8"/>
    </row>
    <row r="217" spans="1:7" ht="54.95" customHeight="1" x14ac:dyDescent="0.25">
      <c r="A217" s="9">
        <v>214</v>
      </c>
      <c r="B217" s="10" t="s">
        <v>228</v>
      </c>
      <c r="C217" s="4" t="s">
        <v>10</v>
      </c>
      <c r="D217" s="5"/>
      <c r="E217" s="6"/>
      <c r="F217" s="12"/>
      <c r="G217" s="8"/>
    </row>
    <row r="218" spans="1:7" ht="54.95" customHeight="1" x14ac:dyDescent="0.25">
      <c r="A218" s="2">
        <v>215</v>
      </c>
      <c r="B218" s="3" t="s">
        <v>229</v>
      </c>
      <c r="C218" s="11" t="s">
        <v>12</v>
      </c>
      <c r="D218" s="5"/>
      <c r="E218" s="6"/>
      <c r="F218" s="7"/>
      <c r="G218" s="8"/>
    </row>
    <row r="219" spans="1:7" ht="54.95" customHeight="1" x14ac:dyDescent="0.25">
      <c r="A219" s="9">
        <v>216</v>
      </c>
      <c r="B219" s="10" t="s">
        <v>230</v>
      </c>
      <c r="C219" s="4" t="s">
        <v>10</v>
      </c>
      <c r="D219" s="5"/>
      <c r="E219" s="6"/>
      <c r="F219" s="12"/>
      <c r="G219" s="8"/>
    </row>
    <row r="220" spans="1:7" ht="54.95" customHeight="1" x14ac:dyDescent="0.25">
      <c r="A220" s="2">
        <v>217</v>
      </c>
      <c r="B220" s="3" t="s">
        <v>231</v>
      </c>
      <c r="C220" s="13" t="s">
        <v>14</v>
      </c>
      <c r="D220" s="5"/>
      <c r="E220" s="6"/>
      <c r="F220" s="7"/>
      <c r="G220" s="8"/>
    </row>
    <row r="221" spans="1:7" ht="54.95" customHeight="1" x14ac:dyDescent="0.25">
      <c r="A221" s="9">
        <v>218</v>
      </c>
      <c r="B221" s="10" t="s">
        <v>232</v>
      </c>
      <c r="C221" s="11" t="s">
        <v>12</v>
      </c>
      <c r="D221" s="5"/>
      <c r="E221" s="6"/>
      <c r="F221" s="12"/>
      <c r="G221" s="8"/>
    </row>
    <row r="222" spans="1:7" ht="54.95" customHeight="1" x14ac:dyDescent="0.25">
      <c r="A222" s="2">
        <v>219</v>
      </c>
      <c r="B222" s="3" t="s">
        <v>233</v>
      </c>
      <c r="C222" s="4" t="s">
        <v>10</v>
      </c>
      <c r="D222" s="5"/>
      <c r="E222" s="6"/>
      <c r="F222" s="7"/>
      <c r="G222" s="8"/>
    </row>
    <row r="223" spans="1:7" ht="54.95" customHeight="1" x14ac:dyDescent="0.25">
      <c r="A223" s="9">
        <v>220</v>
      </c>
      <c r="B223" s="10" t="s">
        <v>234</v>
      </c>
      <c r="C223" s="11" t="s">
        <v>12</v>
      </c>
      <c r="D223" s="5"/>
      <c r="E223" s="6"/>
      <c r="F223" s="12"/>
      <c r="G223" s="8"/>
    </row>
    <row r="224" spans="1:7" ht="54.95" customHeight="1" x14ac:dyDescent="0.25">
      <c r="A224" s="2">
        <v>221</v>
      </c>
      <c r="B224" s="3" t="s">
        <v>235</v>
      </c>
      <c r="C224" s="13" t="s">
        <v>14</v>
      </c>
      <c r="D224" s="5"/>
      <c r="E224" s="6"/>
      <c r="F224" s="7"/>
      <c r="G224" s="8"/>
    </row>
    <row r="225" spans="1:7" ht="54.95" customHeight="1" x14ac:dyDescent="0.25">
      <c r="A225" s="9">
        <v>222</v>
      </c>
      <c r="B225" s="10" t="s">
        <v>236</v>
      </c>
      <c r="C225" s="4" t="s">
        <v>10</v>
      </c>
      <c r="D225" s="5"/>
      <c r="E225" s="6"/>
      <c r="F225" s="12"/>
      <c r="G225" s="8"/>
    </row>
    <row r="226" spans="1:7" ht="54.95" customHeight="1" x14ac:dyDescent="0.25">
      <c r="A226" s="2">
        <v>223</v>
      </c>
      <c r="B226" s="3" t="s">
        <v>237</v>
      </c>
      <c r="C226" s="11" t="s">
        <v>12</v>
      </c>
      <c r="D226" s="5"/>
      <c r="E226" s="6"/>
      <c r="F226" s="7"/>
      <c r="G226" s="8"/>
    </row>
    <row r="227" spans="1:7" ht="54.95" customHeight="1" x14ac:dyDescent="0.25">
      <c r="A227" s="9">
        <v>224</v>
      </c>
      <c r="B227" s="10" t="s">
        <v>238</v>
      </c>
      <c r="C227" s="11" t="s">
        <v>12</v>
      </c>
      <c r="D227" s="5"/>
      <c r="E227" s="6"/>
      <c r="F227" s="12"/>
      <c r="G227" s="8"/>
    </row>
    <row r="228" spans="1:7" ht="54.95" customHeight="1" x14ac:dyDescent="0.25">
      <c r="A228" s="2">
        <v>225</v>
      </c>
      <c r="B228" s="3" t="s">
        <v>239</v>
      </c>
      <c r="C228" s="11" t="s">
        <v>12</v>
      </c>
      <c r="D228" s="5"/>
      <c r="E228" s="6"/>
      <c r="F228" s="7"/>
      <c r="G228" s="8"/>
    </row>
    <row r="229" spans="1:7" ht="54.95" customHeight="1" x14ac:dyDescent="0.25">
      <c r="A229" s="9">
        <v>226</v>
      </c>
      <c r="B229" s="10" t="s">
        <v>240</v>
      </c>
      <c r="C229" s="13" t="s">
        <v>14</v>
      </c>
      <c r="D229" s="5"/>
      <c r="E229" s="6"/>
      <c r="F229" s="12"/>
      <c r="G229" s="8"/>
    </row>
    <row r="230" spans="1:7" ht="54.95" customHeight="1" x14ac:dyDescent="0.25">
      <c r="A230" s="2">
        <v>227</v>
      </c>
      <c r="B230" s="3" t="s">
        <v>241</v>
      </c>
      <c r="C230" s="11" t="s">
        <v>12</v>
      </c>
      <c r="D230" s="5"/>
      <c r="E230" s="6"/>
      <c r="F230" s="7"/>
      <c r="G230" s="8"/>
    </row>
    <row r="231" spans="1:7" ht="54.95" customHeight="1" x14ac:dyDescent="0.25">
      <c r="A231" s="9">
        <v>228</v>
      </c>
      <c r="B231" s="10" t="s">
        <v>242</v>
      </c>
      <c r="C231" s="15" t="s">
        <v>26</v>
      </c>
      <c r="D231" s="5"/>
      <c r="E231" s="6"/>
      <c r="F231" s="12"/>
      <c r="G231" s="8"/>
    </row>
    <row r="232" spans="1:7" ht="54.95" customHeight="1" x14ac:dyDescent="0.25">
      <c r="A232" s="2">
        <v>229</v>
      </c>
      <c r="B232" s="3" t="s">
        <v>243</v>
      </c>
      <c r="C232" s="4" t="s">
        <v>10</v>
      </c>
      <c r="D232" s="5"/>
      <c r="E232" s="6"/>
      <c r="F232" s="7"/>
      <c r="G232" s="8"/>
    </row>
    <row r="233" spans="1:7" ht="54.95" customHeight="1" x14ac:dyDescent="0.25">
      <c r="A233" s="9">
        <v>230</v>
      </c>
      <c r="B233" s="10" t="s">
        <v>244</v>
      </c>
      <c r="C233" s="11" t="s">
        <v>12</v>
      </c>
      <c r="D233" s="5"/>
      <c r="E233" s="6"/>
      <c r="F233" s="12"/>
      <c r="G233" s="8"/>
    </row>
    <row r="234" spans="1:7" ht="54.95" customHeight="1" x14ac:dyDescent="0.25">
      <c r="A234" s="2">
        <v>231</v>
      </c>
      <c r="B234" s="3" t="s">
        <v>245</v>
      </c>
      <c r="C234" s="11" t="s">
        <v>12</v>
      </c>
      <c r="D234" s="5"/>
      <c r="E234" s="6"/>
      <c r="F234" s="7"/>
      <c r="G234" s="8"/>
    </row>
    <row r="235" spans="1:7" ht="54.95" customHeight="1" x14ac:dyDescent="0.25">
      <c r="A235" s="9">
        <v>232</v>
      </c>
      <c r="B235" s="10" t="s">
        <v>246</v>
      </c>
      <c r="C235" s="11" t="s">
        <v>12</v>
      </c>
      <c r="D235" s="5"/>
      <c r="E235" s="6"/>
      <c r="F235" s="12"/>
      <c r="G235" s="8"/>
    </row>
    <row r="236" spans="1:7" ht="54.95" customHeight="1" x14ac:dyDescent="0.25">
      <c r="A236" s="2">
        <v>233</v>
      </c>
      <c r="B236" s="3" t="s">
        <v>247</v>
      </c>
      <c r="C236" s="15" t="s">
        <v>26</v>
      </c>
      <c r="D236" s="5"/>
      <c r="E236" s="6"/>
      <c r="F236" s="7"/>
      <c r="G236" s="8"/>
    </row>
    <row r="237" spans="1:7" ht="54.95" customHeight="1" x14ac:dyDescent="0.25">
      <c r="A237" s="9">
        <v>234</v>
      </c>
      <c r="B237" s="10" t="s">
        <v>248</v>
      </c>
      <c r="C237" s="11" t="s">
        <v>12</v>
      </c>
      <c r="D237" s="5"/>
      <c r="E237" s="6"/>
      <c r="F237" s="12"/>
      <c r="G237" s="8"/>
    </row>
    <row r="238" spans="1:7" ht="54.95" customHeight="1" x14ac:dyDescent="0.25">
      <c r="A238" s="2">
        <v>235</v>
      </c>
      <c r="B238" s="3" t="s">
        <v>249</v>
      </c>
      <c r="C238" s="4" t="s">
        <v>10</v>
      </c>
      <c r="D238" s="5"/>
      <c r="E238" s="6"/>
      <c r="F238" s="7"/>
      <c r="G238" s="8"/>
    </row>
    <row r="239" spans="1:7" ht="54.95" customHeight="1" x14ac:dyDescent="0.25">
      <c r="A239" s="9">
        <v>236</v>
      </c>
      <c r="B239" s="10" t="s">
        <v>250</v>
      </c>
      <c r="C239" s="4" t="s">
        <v>10</v>
      </c>
      <c r="D239" s="5"/>
      <c r="E239" s="6"/>
      <c r="F239" s="12"/>
      <c r="G239" s="8"/>
    </row>
    <row r="240" spans="1:7" ht="54.95" customHeight="1" x14ac:dyDescent="0.25">
      <c r="A240" s="2">
        <v>237</v>
      </c>
      <c r="B240" s="3" t="s">
        <v>251</v>
      </c>
      <c r="C240" s="4" t="s">
        <v>10</v>
      </c>
      <c r="D240" s="5"/>
      <c r="E240" s="6"/>
      <c r="F240" s="7"/>
      <c r="G240" s="8"/>
    </row>
    <row r="241" spans="1:7" ht="54.95" customHeight="1" x14ac:dyDescent="0.25">
      <c r="A241" s="9">
        <v>238</v>
      </c>
      <c r="B241" s="10" t="s">
        <v>252</v>
      </c>
      <c r="C241" s="11" t="s">
        <v>12</v>
      </c>
      <c r="D241" s="5"/>
      <c r="E241" s="6"/>
      <c r="F241" s="12"/>
      <c r="G241" s="8"/>
    </row>
    <row r="242" spans="1:7" ht="54.95" customHeight="1" x14ac:dyDescent="0.25">
      <c r="A242" s="2">
        <v>239</v>
      </c>
      <c r="B242" s="3" t="s">
        <v>253</v>
      </c>
      <c r="C242" s="11" t="s">
        <v>12</v>
      </c>
      <c r="D242" s="5"/>
      <c r="E242" s="6"/>
      <c r="F242" s="7"/>
      <c r="G242" s="8"/>
    </row>
    <row r="243" spans="1:7" ht="54.95" customHeight="1" x14ac:dyDescent="0.25">
      <c r="A243" s="9">
        <v>240</v>
      </c>
      <c r="B243" s="10" t="s">
        <v>254</v>
      </c>
      <c r="C243" s="11" t="s">
        <v>12</v>
      </c>
      <c r="D243" s="5"/>
      <c r="E243" s="6"/>
      <c r="F243" s="12"/>
      <c r="G243" s="8"/>
    </row>
    <row r="244" spans="1:7" ht="54.95" customHeight="1" x14ac:dyDescent="0.25">
      <c r="A244" s="2">
        <v>241</v>
      </c>
      <c r="B244" s="3" t="s">
        <v>255</v>
      </c>
      <c r="C244" s="13" t="s">
        <v>14</v>
      </c>
      <c r="D244" s="5"/>
      <c r="E244" s="6"/>
      <c r="F244" s="7"/>
      <c r="G244" s="8"/>
    </row>
    <row r="245" spans="1:7" ht="54.95" customHeight="1" x14ac:dyDescent="0.25">
      <c r="A245" s="9">
        <v>242</v>
      </c>
      <c r="B245" s="10" t="s">
        <v>256</v>
      </c>
      <c r="C245" s="11" t="s">
        <v>12</v>
      </c>
      <c r="D245" s="5"/>
      <c r="E245" s="6"/>
      <c r="F245" s="12"/>
      <c r="G245" s="8"/>
    </row>
    <row r="246" spans="1:7" ht="54.95" customHeight="1" x14ac:dyDescent="0.25">
      <c r="A246" s="2">
        <v>243</v>
      </c>
      <c r="B246" s="3" t="s">
        <v>257</v>
      </c>
      <c r="C246" s="14" t="s">
        <v>22</v>
      </c>
      <c r="D246" s="5"/>
      <c r="E246" s="6"/>
      <c r="F246" s="7"/>
      <c r="G246" s="8"/>
    </row>
    <row r="247" spans="1:7" ht="54.95" customHeight="1" x14ac:dyDescent="0.25">
      <c r="A247" s="9">
        <v>244</v>
      </c>
      <c r="B247" s="10" t="s">
        <v>258</v>
      </c>
      <c r="C247" s="11" t="s">
        <v>12</v>
      </c>
      <c r="D247" s="5"/>
      <c r="E247" s="6"/>
      <c r="F247" s="12"/>
      <c r="G247" s="8"/>
    </row>
    <row r="248" spans="1:7" ht="54.95" customHeight="1" x14ac:dyDescent="0.25">
      <c r="A248" s="2">
        <v>245</v>
      </c>
      <c r="B248" s="3" t="s">
        <v>259</v>
      </c>
      <c r="C248" s="13" t="s">
        <v>14</v>
      </c>
      <c r="D248" s="5"/>
      <c r="E248" s="6"/>
      <c r="F248" s="7"/>
      <c r="G248" s="8"/>
    </row>
    <row r="249" spans="1:7" ht="54.95" customHeight="1" x14ac:dyDescent="0.25">
      <c r="A249" s="9">
        <v>246</v>
      </c>
      <c r="B249" s="10" t="s">
        <v>260</v>
      </c>
      <c r="C249" s="11" t="s">
        <v>12</v>
      </c>
      <c r="D249" s="5"/>
      <c r="E249" s="6"/>
      <c r="F249" s="12"/>
      <c r="G249" s="8"/>
    </row>
    <row r="250" spans="1:7" ht="54.95" customHeight="1" x14ac:dyDescent="0.25">
      <c r="A250" s="2">
        <v>247</v>
      </c>
      <c r="B250" s="3" t="s">
        <v>261</v>
      </c>
      <c r="C250" s="11" t="s">
        <v>12</v>
      </c>
      <c r="D250" s="5"/>
      <c r="E250" s="6"/>
      <c r="F250" s="7"/>
      <c r="G250" s="8"/>
    </row>
    <row r="251" spans="1:7" ht="54.95" customHeight="1" x14ac:dyDescent="0.25">
      <c r="A251" s="9">
        <v>248</v>
      </c>
      <c r="B251" s="10" t="s">
        <v>262</v>
      </c>
      <c r="C251" s="11" t="s">
        <v>12</v>
      </c>
      <c r="D251" s="5"/>
      <c r="E251" s="6"/>
      <c r="F251" s="12"/>
      <c r="G251" s="8"/>
    </row>
    <row r="252" spans="1:7" ht="54.95" customHeight="1" x14ac:dyDescent="0.25">
      <c r="A252" s="2">
        <v>249</v>
      </c>
      <c r="B252" s="3" t="s">
        <v>263</v>
      </c>
      <c r="C252" s="4" t="s">
        <v>10</v>
      </c>
      <c r="D252" s="5"/>
      <c r="E252" s="6"/>
      <c r="F252" s="7"/>
      <c r="G252" s="8"/>
    </row>
    <row r="253" spans="1:7" ht="54.95" customHeight="1" x14ac:dyDescent="0.25">
      <c r="A253" s="9">
        <v>250</v>
      </c>
      <c r="B253" s="10" t="s">
        <v>264</v>
      </c>
      <c r="C253" s="11" t="s">
        <v>12</v>
      </c>
      <c r="D253" s="5"/>
      <c r="E253" s="6"/>
      <c r="F253" s="12"/>
      <c r="G253" s="8"/>
    </row>
    <row r="254" spans="1:7" ht="54.95" customHeight="1" x14ac:dyDescent="0.25">
      <c r="A254" s="2">
        <v>251</v>
      </c>
      <c r="B254" s="3" t="s">
        <v>265</v>
      </c>
      <c r="C254" s="14" t="s">
        <v>22</v>
      </c>
      <c r="D254" s="5"/>
      <c r="E254" s="6"/>
      <c r="F254" s="7"/>
      <c r="G254" s="8"/>
    </row>
    <row r="255" spans="1:7" ht="54.95" customHeight="1" x14ac:dyDescent="0.25">
      <c r="A255" s="9">
        <v>252</v>
      </c>
      <c r="B255" s="10" t="s">
        <v>266</v>
      </c>
      <c r="C255" s="4" t="s">
        <v>10</v>
      </c>
      <c r="D255" s="5"/>
      <c r="E255" s="6"/>
      <c r="F255" s="12"/>
      <c r="G255" s="8"/>
    </row>
    <row r="256" spans="1:7" ht="54.95" customHeight="1" x14ac:dyDescent="0.25">
      <c r="A256" s="2">
        <v>253</v>
      </c>
      <c r="B256" s="3" t="s">
        <v>267</v>
      </c>
      <c r="C256" s="14" t="s">
        <v>22</v>
      </c>
      <c r="D256" s="5"/>
      <c r="E256" s="6"/>
      <c r="F256" s="7"/>
      <c r="G256" s="8"/>
    </row>
    <row r="257" spans="1:7" ht="54.95" customHeight="1" x14ac:dyDescent="0.25">
      <c r="A257" s="9">
        <v>254</v>
      </c>
      <c r="B257" s="10" t="s">
        <v>268</v>
      </c>
      <c r="C257" s="11" t="s">
        <v>12</v>
      </c>
      <c r="D257" s="5"/>
      <c r="E257" s="6"/>
      <c r="F257" s="12"/>
      <c r="G257" s="8"/>
    </row>
    <row r="258" spans="1:7" ht="54.95" customHeight="1" x14ac:dyDescent="0.25">
      <c r="A258" s="2">
        <v>255</v>
      </c>
      <c r="B258" s="3" t="s">
        <v>269</v>
      </c>
      <c r="C258" s="4" t="s">
        <v>10</v>
      </c>
      <c r="D258" s="5"/>
      <c r="E258" s="6"/>
      <c r="F258" s="7"/>
      <c r="G258" s="8"/>
    </row>
    <row r="259" spans="1:7" ht="54.95" customHeight="1" x14ac:dyDescent="0.25">
      <c r="A259" s="9">
        <v>256</v>
      </c>
      <c r="B259" s="10" t="s">
        <v>270</v>
      </c>
      <c r="C259" s="15" t="s">
        <v>26</v>
      </c>
      <c r="D259" s="5"/>
      <c r="E259" s="6"/>
      <c r="F259" s="12"/>
      <c r="G259" s="8"/>
    </row>
    <row r="260" spans="1:7" ht="54.95" customHeight="1" x14ac:dyDescent="0.25">
      <c r="A260" s="2">
        <v>257</v>
      </c>
      <c r="B260" s="3" t="s">
        <v>271</v>
      </c>
      <c r="C260" s="11" t="s">
        <v>12</v>
      </c>
      <c r="D260" s="5"/>
      <c r="E260" s="6"/>
      <c r="F260" s="7"/>
      <c r="G260" s="8"/>
    </row>
    <row r="261" spans="1:7" ht="54.95" customHeight="1" x14ac:dyDescent="0.25">
      <c r="A261" s="9">
        <v>258</v>
      </c>
      <c r="B261" s="10" t="s">
        <v>272</v>
      </c>
      <c r="C261" s="13" t="s">
        <v>14</v>
      </c>
      <c r="D261" s="5"/>
      <c r="E261" s="6"/>
      <c r="F261" s="12"/>
      <c r="G261" s="8"/>
    </row>
    <row r="262" spans="1:7" ht="54.95" customHeight="1" x14ac:dyDescent="0.25">
      <c r="A262" s="2">
        <v>259</v>
      </c>
      <c r="B262" s="3" t="s">
        <v>273</v>
      </c>
      <c r="C262" s="11" t="s">
        <v>12</v>
      </c>
      <c r="D262" s="5"/>
      <c r="E262" s="6"/>
      <c r="F262" s="7"/>
      <c r="G262" s="8"/>
    </row>
    <row r="263" spans="1:7" ht="54.95" customHeight="1" x14ac:dyDescent="0.25">
      <c r="A263" s="9">
        <v>260</v>
      </c>
      <c r="B263" s="10" t="s">
        <v>274</v>
      </c>
      <c r="C263" s="14" t="s">
        <v>22</v>
      </c>
      <c r="D263" s="5"/>
      <c r="E263" s="6"/>
      <c r="F263" s="12"/>
      <c r="G263" s="8"/>
    </row>
    <row r="264" spans="1:7" ht="54.95" customHeight="1" x14ac:dyDescent="0.25">
      <c r="A264" s="2">
        <v>261</v>
      </c>
      <c r="B264" s="3" t="s">
        <v>275</v>
      </c>
      <c r="C264" s="4" t="s">
        <v>10</v>
      </c>
      <c r="D264" s="5"/>
      <c r="E264" s="6"/>
      <c r="F264" s="7"/>
      <c r="G264" s="8"/>
    </row>
    <row r="265" spans="1:7" ht="54.95" customHeight="1" x14ac:dyDescent="0.25">
      <c r="A265" s="9">
        <v>262</v>
      </c>
      <c r="B265" s="10" t="s">
        <v>276</v>
      </c>
      <c r="C265" s="11" t="s">
        <v>12</v>
      </c>
      <c r="D265" s="5"/>
      <c r="E265" s="6"/>
      <c r="F265" s="12"/>
      <c r="G265" s="8"/>
    </row>
    <row r="266" spans="1:7" ht="54.95" customHeight="1" x14ac:dyDescent="0.25">
      <c r="A266" s="2">
        <v>263</v>
      </c>
      <c r="B266" s="3" t="s">
        <v>277</v>
      </c>
      <c r="C266" s="13" t="s">
        <v>14</v>
      </c>
      <c r="D266" s="5"/>
      <c r="E266" s="6"/>
      <c r="F266" s="7"/>
      <c r="G266" s="8"/>
    </row>
    <row r="267" spans="1:7" ht="54.95" customHeight="1" x14ac:dyDescent="0.25">
      <c r="A267" s="9">
        <v>264</v>
      </c>
      <c r="B267" s="10" t="s">
        <v>278</v>
      </c>
      <c r="C267" s="11" t="s">
        <v>12</v>
      </c>
      <c r="D267" s="5"/>
      <c r="E267" s="6"/>
      <c r="F267" s="12"/>
      <c r="G267" s="8"/>
    </row>
    <row r="268" spans="1:7" ht="54.95" customHeight="1" x14ac:dyDescent="0.25">
      <c r="A268" s="2">
        <v>265</v>
      </c>
      <c r="B268" s="3" t="s">
        <v>279</v>
      </c>
      <c r="C268" s="11" t="s">
        <v>12</v>
      </c>
      <c r="D268" s="5"/>
      <c r="E268" s="6"/>
      <c r="F268" s="7"/>
      <c r="G268" s="8"/>
    </row>
    <row r="269" spans="1:7" ht="54.95" customHeight="1" x14ac:dyDescent="0.25">
      <c r="A269" s="9">
        <v>266</v>
      </c>
      <c r="B269" s="10" t="s">
        <v>280</v>
      </c>
      <c r="C269" s="11" t="s">
        <v>12</v>
      </c>
      <c r="D269" s="5"/>
      <c r="E269" s="6"/>
      <c r="F269" s="12"/>
      <c r="G269" s="8"/>
    </row>
    <row r="270" spans="1:7" ht="54.95" customHeight="1" x14ac:dyDescent="0.25">
      <c r="A270" s="2">
        <v>267</v>
      </c>
      <c r="B270" s="3" t="s">
        <v>281</v>
      </c>
      <c r="C270" s="15" t="s">
        <v>26</v>
      </c>
      <c r="D270" s="5"/>
      <c r="E270" s="6"/>
      <c r="F270" s="7"/>
      <c r="G270" s="8"/>
    </row>
    <row r="271" spans="1:7" ht="54.95" customHeight="1" x14ac:dyDescent="0.25">
      <c r="A271" s="9">
        <v>268</v>
      </c>
      <c r="B271" s="10" t="s">
        <v>282</v>
      </c>
      <c r="C271" s="11" t="s">
        <v>12</v>
      </c>
      <c r="D271" s="5"/>
      <c r="E271" s="6"/>
      <c r="F271" s="12"/>
      <c r="G271" s="8"/>
    </row>
    <row r="272" spans="1:7" ht="54.95" customHeight="1" x14ac:dyDescent="0.25">
      <c r="A272" s="2">
        <v>269</v>
      </c>
      <c r="B272" s="3" t="s">
        <v>283</v>
      </c>
      <c r="C272" s="15" t="s">
        <v>26</v>
      </c>
      <c r="D272" s="5"/>
      <c r="E272" s="6"/>
      <c r="F272" s="7"/>
      <c r="G272" s="8"/>
    </row>
    <row r="273" spans="1:7" ht="54.95" customHeight="1" x14ac:dyDescent="0.25">
      <c r="A273" s="9">
        <v>270</v>
      </c>
      <c r="B273" s="10" t="s">
        <v>284</v>
      </c>
      <c r="C273" s="11" t="s">
        <v>12</v>
      </c>
      <c r="D273" s="5"/>
      <c r="E273" s="6"/>
      <c r="F273" s="12"/>
      <c r="G273" s="8"/>
    </row>
    <row r="274" spans="1:7" ht="54.95" customHeight="1" x14ac:dyDescent="0.25">
      <c r="A274" s="2">
        <v>271</v>
      </c>
      <c r="B274" s="3" t="s">
        <v>285</v>
      </c>
      <c r="C274" s="11" t="s">
        <v>12</v>
      </c>
      <c r="D274" s="5"/>
      <c r="E274" s="6"/>
      <c r="F274" s="7"/>
      <c r="G274" s="8"/>
    </row>
    <row r="275" spans="1:7" ht="54.95" customHeight="1" x14ac:dyDescent="0.25">
      <c r="A275" s="9">
        <v>272</v>
      </c>
      <c r="B275" s="10" t="s">
        <v>286</v>
      </c>
      <c r="C275" s="11" t="s">
        <v>12</v>
      </c>
      <c r="D275" s="5"/>
      <c r="E275" s="6"/>
      <c r="F275" s="12"/>
      <c r="G275" s="8"/>
    </row>
    <row r="276" spans="1:7" ht="54.95" customHeight="1" x14ac:dyDescent="0.25">
      <c r="A276" s="2">
        <v>273</v>
      </c>
      <c r="B276" s="3" t="s">
        <v>287</v>
      </c>
      <c r="C276" s="11" t="s">
        <v>12</v>
      </c>
      <c r="D276" s="5"/>
      <c r="E276" s="6"/>
      <c r="F276" s="7"/>
      <c r="G276" s="8"/>
    </row>
    <row r="277" spans="1:7" ht="54.95" customHeight="1" x14ac:dyDescent="0.25">
      <c r="A277" s="9">
        <v>274</v>
      </c>
      <c r="B277" s="10" t="s">
        <v>288</v>
      </c>
      <c r="C277" s="4" t="s">
        <v>10</v>
      </c>
      <c r="D277" s="5"/>
      <c r="E277" s="6"/>
      <c r="F277" s="12"/>
      <c r="G277" s="8"/>
    </row>
    <row r="278" spans="1:7" ht="54.95" customHeight="1" x14ac:dyDescent="0.25">
      <c r="A278" s="2">
        <v>275</v>
      </c>
      <c r="B278" s="3" t="s">
        <v>289</v>
      </c>
      <c r="C278" s="4" t="s">
        <v>10</v>
      </c>
      <c r="D278" s="5"/>
      <c r="E278" s="6"/>
      <c r="F278" s="7"/>
      <c r="G278" s="8"/>
    </row>
    <row r="279" spans="1:7" ht="54.95" customHeight="1" x14ac:dyDescent="0.25">
      <c r="A279" s="9">
        <v>276</v>
      </c>
      <c r="B279" s="10" t="s">
        <v>290</v>
      </c>
      <c r="C279" s="4" t="s">
        <v>10</v>
      </c>
      <c r="D279" s="5"/>
      <c r="E279" s="6"/>
      <c r="F279" s="12"/>
      <c r="G279" s="8"/>
    </row>
    <row r="280" spans="1:7" ht="54.95" customHeight="1" x14ac:dyDescent="0.25">
      <c r="A280" s="2">
        <v>277</v>
      </c>
      <c r="B280" s="3" t="s">
        <v>291</v>
      </c>
      <c r="C280" s="13" t="s">
        <v>14</v>
      </c>
      <c r="D280" s="5"/>
      <c r="E280" s="6"/>
      <c r="F280" s="7"/>
      <c r="G280" s="8"/>
    </row>
    <row r="281" spans="1:7" ht="54.95" customHeight="1" x14ac:dyDescent="0.25">
      <c r="A281" s="9">
        <v>278</v>
      </c>
      <c r="B281" s="10" t="s">
        <v>292</v>
      </c>
      <c r="C281" s="13" t="s">
        <v>14</v>
      </c>
      <c r="D281" s="5"/>
      <c r="E281" s="6"/>
      <c r="F281" s="12"/>
      <c r="G281" s="8"/>
    </row>
    <row r="282" spans="1:7" ht="54.95" customHeight="1" x14ac:dyDescent="0.25">
      <c r="A282" s="2">
        <v>279</v>
      </c>
      <c r="B282" s="3" t="s">
        <v>293</v>
      </c>
      <c r="C282" s="4" t="s">
        <v>10</v>
      </c>
      <c r="D282" s="5"/>
      <c r="E282" s="6"/>
      <c r="F282" s="7"/>
      <c r="G282" s="8"/>
    </row>
    <row r="283" spans="1:7" ht="54.95" customHeight="1" x14ac:dyDescent="0.25">
      <c r="A283" s="9">
        <v>280</v>
      </c>
      <c r="B283" s="10" t="s">
        <v>294</v>
      </c>
      <c r="C283" s="11" t="s">
        <v>12</v>
      </c>
      <c r="D283" s="5"/>
      <c r="E283" s="6"/>
      <c r="F283" s="12"/>
      <c r="G283" s="8"/>
    </row>
    <row r="284" spans="1:7" ht="54.95" customHeight="1" x14ac:dyDescent="0.25">
      <c r="A284" s="2">
        <v>281</v>
      </c>
      <c r="B284" s="3" t="s">
        <v>295</v>
      </c>
      <c r="C284" s="4" t="s">
        <v>10</v>
      </c>
      <c r="D284" s="5"/>
      <c r="E284" s="6"/>
      <c r="F284" s="7"/>
      <c r="G284" s="8"/>
    </row>
    <row r="285" spans="1:7" ht="54.95" customHeight="1" x14ac:dyDescent="0.25">
      <c r="A285" s="9">
        <v>282</v>
      </c>
      <c r="B285" s="10" t="s">
        <v>296</v>
      </c>
      <c r="C285" s="11" t="s">
        <v>12</v>
      </c>
      <c r="D285" s="5"/>
      <c r="E285" s="6"/>
      <c r="F285" s="12"/>
      <c r="G285" s="8"/>
    </row>
    <row r="286" spans="1:7" ht="54.95" customHeight="1" x14ac:dyDescent="0.25">
      <c r="A286" s="2">
        <v>283</v>
      </c>
      <c r="B286" s="3" t="s">
        <v>297</v>
      </c>
      <c r="C286" s="15" t="s">
        <v>26</v>
      </c>
      <c r="D286" s="5"/>
      <c r="E286" s="6"/>
      <c r="F286" s="7"/>
      <c r="G286" s="8"/>
    </row>
    <row r="287" spans="1:7" ht="54.95" customHeight="1" x14ac:dyDescent="0.25">
      <c r="A287" s="9">
        <v>284</v>
      </c>
      <c r="B287" s="10" t="s">
        <v>298</v>
      </c>
      <c r="C287" s="11" t="s">
        <v>12</v>
      </c>
      <c r="D287" s="5"/>
      <c r="E287" s="6"/>
      <c r="F287" s="12"/>
      <c r="G287" s="8"/>
    </row>
    <row r="288" spans="1:7" ht="54.95" customHeight="1" x14ac:dyDescent="0.25">
      <c r="A288" s="2">
        <v>285</v>
      </c>
      <c r="B288" s="3" t="s">
        <v>299</v>
      </c>
      <c r="C288" s="11" t="s">
        <v>12</v>
      </c>
      <c r="D288" s="5"/>
      <c r="E288" s="6"/>
      <c r="F288" s="7"/>
      <c r="G288" s="8"/>
    </row>
    <row r="289" spans="1:7" ht="54.95" customHeight="1" x14ac:dyDescent="0.25">
      <c r="A289" s="9">
        <v>286</v>
      </c>
      <c r="B289" s="10" t="s">
        <v>300</v>
      </c>
      <c r="C289" s="15" t="s">
        <v>26</v>
      </c>
      <c r="D289" s="5"/>
      <c r="E289" s="6"/>
      <c r="F289" s="12"/>
      <c r="G289" s="8"/>
    </row>
    <row r="290" spans="1:7" ht="54.95" customHeight="1" x14ac:dyDescent="0.25">
      <c r="A290" s="2">
        <v>287</v>
      </c>
      <c r="B290" s="3" t="s">
        <v>301</v>
      </c>
      <c r="C290" s="4" t="s">
        <v>10</v>
      </c>
      <c r="D290" s="5"/>
      <c r="E290" s="6"/>
      <c r="F290" s="7"/>
      <c r="G290" s="8"/>
    </row>
    <row r="291" spans="1:7" ht="54.95" customHeight="1" x14ac:dyDescent="0.25">
      <c r="A291" s="9">
        <v>288</v>
      </c>
      <c r="B291" s="10" t="s">
        <v>302</v>
      </c>
      <c r="C291" s="15" t="s">
        <v>26</v>
      </c>
      <c r="D291" s="5"/>
      <c r="E291" s="6"/>
      <c r="F291" s="12"/>
      <c r="G291" s="8"/>
    </row>
    <row r="292" spans="1:7" ht="54.95" customHeight="1" x14ac:dyDescent="0.25">
      <c r="A292" s="2">
        <v>289</v>
      </c>
      <c r="B292" s="3" t="s">
        <v>303</v>
      </c>
      <c r="C292" s="13" t="s">
        <v>14</v>
      </c>
      <c r="D292" s="5"/>
      <c r="E292" s="6"/>
      <c r="F292" s="7"/>
      <c r="G292" s="8"/>
    </row>
    <row r="293" spans="1:7" ht="54.95" customHeight="1" x14ac:dyDescent="0.25">
      <c r="A293" s="9">
        <v>290</v>
      </c>
      <c r="B293" s="10" t="s">
        <v>304</v>
      </c>
      <c r="C293" s="4" t="s">
        <v>10</v>
      </c>
      <c r="D293" s="5"/>
      <c r="E293" s="6"/>
      <c r="F293" s="12"/>
      <c r="G293" s="8"/>
    </row>
    <row r="294" spans="1:7" ht="54.95" customHeight="1" x14ac:dyDescent="0.25">
      <c r="A294" s="2">
        <v>291</v>
      </c>
      <c r="B294" s="3" t="s">
        <v>305</v>
      </c>
      <c r="C294" s="4" t="s">
        <v>10</v>
      </c>
      <c r="D294" s="5"/>
      <c r="E294" s="6"/>
      <c r="F294" s="7"/>
      <c r="G294" s="8"/>
    </row>
    <row r="295" spans="1:7" ht="54.95" customHeight="1" x14ac:dyDescent="0.25">
      <c r="A295" s="9">
        <v>292</v>
      </c>
      <c r="B295" s="10" t="s">
        <v>306</v>
      </c>
      <c r="C295" s="4" t="s">
        <v>10</v>
      </c>
      <c r="D295" s="5"/>
      <c r="E295" s="6"/>
      <c r="F295" s="12"/>
      <c r="G295" s="8"/>
    </row>
    <row r="296" spans="1:7" ht="54.95" customHeight="1" x14ac:dyDescent="0.25">
      <c r="A296" s="2">
        <v>293</v>
      </c>
      <c r="B296" s="3" t="s">
        <v>307</v>
      </c>
      <c r="C296" s="13" t="s">
        <v>14</v>
      </c>
      <c r="D296" s="5"/>
      <c r="E296" s="6"/>
      <c r="F296" s="7"/>
      <c r="G296" s="8"/>
    </row>
    <row r="297" spans="1:7" ht="54.95" customHeight="1" x14ac:dyDescent="0.25">
      <c r="A297" s="9">
        <v>294</v>
      </c>
      <c r="B297" s="10" t="s">
        <v>308</v>
      </c>
      <c r="C297" s="4" t="s">
        <v>10</v>
      </c>
      <c r="D297" s="5"/>
      <c r="E297" s="6"/>
      <c r="F297" s="12"/>
      <c r="G297" s="8"/>
    </row>
    <row r="298" spans="1:7" ht="54.95" customHeight="1" x14ac:dyDescent="0.25">
      <c r="A298" s="2">
        <v>295</v>
      </c>
      <c r="B298" s="3" t="s">
        <v>309</v>
      </c>
      <c r="C298" s="11" t="s">
        <v>12</v>
      </c>
      <c r="D298" s="5"/>
      <c r="E298" s="6"/>
      <c r="F298" s="7"/>
      <c r="G298" s="8"/>
    </row>
    <row r="299" spans="1:7" ht="54.95" customHeight="1" x14ac:dyDescent="0.25">
      <c r="A299" s="9">
        <v>296</v>
      </c>
      <c r="B299" s="10" t="s">
        <v>310</v>
      </c>
      <c r="C299" s="11" t="s">
        <v>12</v>
      </c>
      <c r="D299" s="5"/>
      <c r="E299" s="6"/>
      <c r="F299" s="12"/>
      <c r="G299" s="8"/>
    </row>
    <row r="300" spans="1:7" ht="54.95" customHeight="1" x14ac:dyDescent="0.25">
      <c r="A300" s="2">
        <v>297</v>
      </c>
      <c r="B300" s="3" t="s">
        <v>311</v>
      </c>
      <c r="C300" s="4" t="s">
        <v>10</v>
      </c>
      <c r="D300" s="5"/>
      <c r="E300" s="6"/>
      <c r="F300" s="7"/>
      <c r="G300" s="8"/>
    </row>
    <row r="301" spans="1:7" ht="54.95" customHeight="1" x14ac:dyDescent="0.25">
      <c r="A301" s="9">
        <v>298</v>
      </c>
      <c r="B301" s="10" t="s">
        <v>312</v>
      </c>
      <c r="C301" s="15" t="s">
        <v>26</v>
      </c>
      <c r="D301" s="5"/>
      <c r="E301" s="6"/>
      <c r="F301" s="12"/>
      <c r="G301" s="8"/>
    </row>
    <row r="302" spans="1:7" ht="54.95" customHeight="1" x14ac:dyDescent="0.25">
      <c r="A302" s="2">
        <v>299</v>
      </c>
      <c r="B302" s="3" t="s">
        <v>313</v>
      </c>
      <c r="C302" s="16" t="s">
        <v>31</v>
      </c>
      <c r="D302" s="5"/>
      <c r="E302" s="6"/>
      <c r="F302" s="7"/>
      <c r="G302" s="8"/>
    </row>
    <row r="303" spans="1:7" ht="54.95" customHeight="1" x14ac:dyDescent="0.25">
      <c r="A303" s="9">
        <v>300</v>
      </c>
      <c r="B303" s="10" t="s">
        <v>314</v>
      </c>
      <c r="C303" s="14" t="s">
        <v>22</v>
      </c>
      <c r="D303" s="5"/>
      <c r="E303" s="6"/>
      <c r="F303" s="12"/>
      <c r="G303" s="8"/>
    </row>
    <row r="304" spans="1:7" ht="54.95" customHeight="1" x14ac:dyDescent="0.25">
      <c r="A304" s="2">
        <v>301</v>
      </c>
      <c r="B304" s="3" t="s">
        <v>315</v>
      </c>
      <c r="C304" s="15" t="s">
        <v>26</v>
      </c>
      <c r="D304" s="5"/>
      <c r="E304" s="6"/>
      <c r="F304" s="7"/>
      <c r="G304" s="8"/>
    </row>
    <row r="305" spans="1:7" ht="54.95" customHeight="1" x14ac:dyDescent="0.25">
      <c r="A305" s="9">
        <v>302</v>
      </c>
      <c r="B305" s="10" t="s">
        <v>316</v>
      </c>
      <c r="C305" s="11" t="s">
        <v>12</v>
      </c>
      <c r="D305" s="5"/>
      <c r="E305" s="6"/>
      <c r="F305" s="12"/>
      <c r="G305" s="8"/>
    </row>
    <row r="306" spans="1:7" ht="54.95" customHeight="1" x14ac:dyDescent="0.25">
      <c r="A306" s="2">
        <v>303</v>
      </c>
      <c r="B306" s="3" t="s">
        <v>317</v>
      </c>
      <c r="C306" s="4" t="s">
        <v>10</v>
      </c>
      <c r="D306" s="5"/>
      <c r="E306" s="6"/>
      <c r="F306" s="7"/>
      <c r="G306" s="8"/>
    </row>
    <row r="307" spans="1:7" ht="54.95" customHeight="1" x14ac:dyDescent="0.25">
      <c r="A307" s="9">
        <v>304</v>
      </c>
      <c r="B307" s="10" t="s">
        <v>318</v>
      </c>
      <c r="C307" s="11" t="s">
        <v>12</v>
      </c>
      <c r="D307" s="5"/>
      <c r="E307" s="6"/>
      <c r="F307" s="12"/>
      <c r="G307" s="8"/>
    </row>
    <row r="308" spans="1:7" ht="54.95" customHeight="1" x14ac:dyDescent="0.25">
      <c r="A308" s="2">
        <v>305</v>
      </c>
      <c r="B308" s="3" t="s">
        <v>319</v>
      </c>
      <c r="C308" s="11" t="s">
        <v>12</v>
      </c>
      <c r="D308" s="5"/>
      <c r="E308" s="6"/>
      <c r="F308" s="7"/>
      <c r="G308" s="8"/>
    </row>
    <row r="309" spans="1:7" ht="54.95" customHeight="1" x14ac:dyDescent="0.25">
      <c r="A309" s="9">
        <v>306</v>
      </c>
      <c r="B309" s="10" t="s">
        <v>320</v>
      </c>
      <c r="C309" s="11" t="s">
        <v>12</v>
      </c>
      <c r="D309" s="5"/>
      <c r="E309" s="6"/>
      <c r="F309" s="12"/>
      <c r="G309" s="8"/>
    </row>
    <row r="310" spans="1:7" ht="54.95" customHeight="1" x14ac:dyDescent="0.25">
      <c r="A310" s="2">
        <v>307</v>
      </c>
      <c r="B310" s="3" t="s">
        <v>321</v>
      </c>
      <c r="C310" s="11" t="s">
        <v>12</v>
      </c>
      <c r="D310" s="5"/>
      <c r="E310" s="6"/>
      <c r="F310" s="7"/>
      <c r="G310" s="8"/>
    </row>
    <row r="311" spans="1:7" ht="54.95" customHeight="1" x14ac:dyDescent="0.25">
      <c r="A311" s="9">
        <v>308</v>
      </c>
      <c r="B311" s="10" t="s">
        <v>322</v>
      </c>
      <c r="C311" s="11" t="s">
        <v>12</v>
      </c>
      <c r="D311" s="5"/>
      <c r="E311" s="6"/>
      <c r="F311" s="12"/>
      <c r="G311" s="8"/>
    </row>
    <row r="312" spans="1:7" ht="54.95" customHeight="1" x14ac:dyDescent="0.25">
      <c r="A312" s="2">
        <v>309</v>
      </c>
      <c r="B312" s="3" t="s">
        <v>323</v>
      </c>
      <c r="C312" s="11" t="s">
        <v>12</v>
      </c>
      <c r="D312" s="5"/>
      <c r="E312" s="6"/>
      <c r="F312" s="7"/>
      <c r="G312" s="8"/>
    </row>
    <row r="313" spans="1:7" ht="54.95" customHeight="1" x14ac:dyDescent="0.25">
      <c r="A313" s="9">
        <v>310</v>
      </c>
      <c r="B313" s="10" t="s">
        <v>324</v>
      </c>
      <c r="C313" s="11" t="s">
        <v>12</v>
      </c>
      <c r="D313" s="5"/>
      <c r="E313" s="6"/>
      <c r="F313" s="12"/>
      <c r="G313" s="8"/>
    </row>
    <row r="314" spans="1:7" ht="54.95" customHeight="1" x14ac:dyDescent="0.25">
      <c r="A314" s="2">
        <v>311</v>
      </c>
      <c r="B314" s="3" t="s">
        <v>325</v>
      </c>
      <c r="C314" s="4" t="s">
        <v>10</v>
      </c>
      <c r="D314" s="5"/>
      <c r="E314" s="6"/>
      <c r="F314" s="7"/>
      <c r="G314" s="8"/>
    </row>
    <row r="315" spans="1:7" ht="54.95" customHeight="1" x14ac:dyDescent="0.25">
      <c r="A315" s="9">
        <v>312</v>
      </c>
      <c r="B315" s="10" t="s">
        <v>326</v>
      </c>
      <c r="C315" s="11" t="s">
        <v>12</v>
      </c>
      <c r="D315" s="5"/>
      <c r="E315" s="6"/>
      <c r="F315" s="12"/>
      <c r="G315" s="8"/>
    </row>
    <row r="316" spans="1:7" ht="54.95" customHeight="1" x14ac:dyDescent="0.25">
      <c r="A316" s="2">
        <v>313</v>
      </c>
      <c r="B316" s="3" t="s">
        <v>327</v>
      </c>
      <c r="C316" s="13" t="s">
        <v>14</v>
      </c>
      <c r="D316" s="5"/>
      <c r="E316" s="6"/>
      <c r="F316" s="7"/>
      <c r="G316" s="8"/>
    </row>
    <row r="317" spans="1:7" ht="54.95" customHeight="1" x14ac:dyDescent="0.25">
      <c r="A317" s="9">
        <v>314</v>
      </c>
      <c r="B317" s="10" t="s">
        <v>328</v>
      </c>
      <c r="C317" s="13" t="s">
        <v>14</v>
      </c>
      <c r="D317" s="5"/>
      <c r="E317" s="6"/>
      <c r="F317" s="12"/>
      <c r="G317" s="8"/>
    </row>
    <row r="318" spans="1:7" ht="54.95" customHeight="1" x14ac:dyDescent="0.25">
      <c r="A318" s="2">
        <v>315</v>
      </c>
      <c r="B318" s="3" t="s">
        <v>329</v>
      </c>
      <c r="C318" s="11" t="s">
        <v>12</v>
      </c>
      <c r="D318" s="5"/>
      <c r="E318" s="6"/>
      <c r="F318" s="7"/>
      <c r="G318" s="8"/>
    </row>
    <row r="319" spans="1:7" ht="54.95" customHeight="1" x14ac:dyDescent="0.25">
      <c r="A319" s="9">
        <v>316</v>
      </c>
      <c r="B319" s="10" t="s">
        <v>330</v>
      </c>
      <c r="C319" s="4" t="s">
        <v>10</v>
      </c>
      <c r="D319" s="5"/>
      <c r="E319" s="6"/>
      <c r="F319" s="12"/>
      <c r="G319" s="8"/>
    </row>
    <row r="320" spans="1:7" ht="54.95" customHeight="1" x14ac:dyDescent="0.25">
      <c r="A320" s="2">
        <v>317</v>
      </c>
      <c r="B320" s="3" t="s">
        <v>331</v>
      </c>
      <c r="C320" s="15" t="s">
        <v>26</v>
      </c>
      <c r="D320" s="5"/>
      <c r="E320" s="6"/>
      <c r="F320" s="7"/>
      <c r="G320" s="8"/>
    </row>
    <row r="321" spans="1:7" ht="54.95" customHeight="1" x14ac:dyDescent="0.25">
      <c r="A321" s="9">
        <v>318</v>
      </c>
      <c r="B321" s="10" t="s">
        <v>332</v>
      </c>
      <c r="C321" s="11" t="s">
        <v>12</v>
      </c>
      <c r="D321" s="5"/>
      <c r="E321" s="6"/>
      <c r="F321" s="12"/>
      <c r="G321" s="8"/>
    </row>
    <row r="322" spans="1:7" ht="54.95" customHeight="1" x14ac:dyDescent="0.25">
      <c r="A322" s="2">
        <v>319</v>
      </c>
      <c r="B322" s="3" t="s">
        <v>333</v>
      </c>
      <c r="C322" s="13" t="s">
        <v>14</v>
      </c>
      <c r="D322" s="5"/>
      <c r="E322" s="6"/>
      <c r="F322" s="7"/>
      <c r="G322" s="8"/>
    </row>
    <row r="323" spans="1:7" ht="54.95" customHeight="1" x14ac:dyDescent="0.25">
      <c r="A323" s="9">
        <v>320</v>
      </c>
      <c r="B323" s="10" t="s">
        <v>334</v>
      </c>
      <c r="C323" s="4" t="s">
        <v>10</v>
      </c>
      <c r="D323" s="5"/>
      <c r="E323" s="6"/>
      <c r="F323" s="12"/>
      <c r="G323" s="8"/>
    </row>
    <row r="324" spans="1:7" ht="54.95" customHeight="1" x14ac:dyDescent="0.25">
      <c r="A324" s="2">
        <v>321</v>
      </c>
      <c r="B324" s="3" t="s">
        <v>335</v>
      </c>
      <c r="C324" s="11" t="s">
        <v>12</v>
      </c>
      <c r="D324" s="5"/>
      <c r="E324" s="6"/>
      <c r="F324" s="7"/>
      <c r="G324" s="8"/>
    </row>
    <row r="325" spans="1:7" ht="54.95" customHeight="1" x14ac:dyDescent="0.25">
      <c r="A325" s="9">
        <v>322</v>
      </c>
      <c r="B325" s="10" t="s">
        <v>336</v>
      </c>
      <c r="C325" s="14" t="s">
        <v>22</v>
      </c>
      <c r="D325" s="5"/>
      <c r="E325" s="6"/>
      <c r="F325" s="12"/>
      <c r="G325" s="8"/>
    </row>
    <row r="326" spans="1:7" ht="54.95" customHeight="1" x14ac:dyDescent="0.25">
      <c r="A326" s="2">
        <v>323</v>
      </c>
      <c r="B326" s="3" t="s">
        <v>337</v>
      </c>
      <c r="C326" s="11" t="s">
        <v>12</v>
      </c>
      <c r="D326" s="5"/>
      <c r="E326" s="6"/>
      <c r="F326" s="7"/>
      <c r="G326" s="8"/>
    </row>
    <row r="327" spans="1:7" ht="54.95" customHeight="1" x14ac:dyDescent="0.25">
      <c r="A327" s="9">
        <v>324</v>
      </c>
      <c r="B327" s="10" t="s">
        <v>338</v>
      </c>
      <c r="C327" s="14" t="s">
        <v>22</v>
      </c>
      <c r="D327" s="5"/>
      <c r="E327" s="6"/>
      <c r="F327" s="12"/>
      <c r="G327" s="8"/>
    </row>
    <row r="328" spans="1:7" ht="54.95" customHeight="1" x14ac:dyDescent="0.25">
      <c r="A328" s="2">
        <v>325</v>
      </c>
      <c r="B328" s="3" t="s">
        <v>339</v>
      </c>
      <c r="C328" s="11" t="s">
        <v>12</v>
      </c>
      <c r="D328" s="5"/>
      <c r="E328" s="6"/>
      <c r="F328" s="7"/>
      <c r="G328" s="8"/>
    </row>
    <row r="329" spans="1:7" ht="54.95" customHeight="1" x14ac:dyDescent="0.25">
      <c r="A329" s="9">
        <v>326</v>
      </c>
      <c r="B329" s="10" t="s">
        <v>340</v>
      </c>
      <c r="C329" s="4" t="s">
        <v>10</v>
      </c>
      <c r="D329" s="5"/>
      <c r="E329" s="6"/>
      <c r="F329" s="12"/>
      <c r="G329" s="8"/>
    </row>
    <row r="330" spans="1:7" ht="54.95" customHeight="1" x14ac:dyDescent="0.25">
      <c r="A330" s="2">
        <v>327</v>
      </c>
      <c r="B330" s="3" t="s">
        <v>341</v>
      </c>
      <c r="C330" s="11" t="s">
        <v>12</v>
      </c>
      <c r="D330" s="5"/>
      <c r="E330" s="6"/>
      <c r="F330" s="7"/>
      <c r="G330" s="8"/>
    </row>
    <row r="331" spans="1:7" ht="54.95" customHeight="1" x14ac:dyDescent="0.25">
      <c r="A331" s="9">
        <v>328</v>
      </c>
      <c r="B331" s="10" t="s">
        <v>342</v>
      </c>
      <c r="C331" s="11" t="s">
        <v>12</v>
      </c>
      <c r="D331" s="5"/>
      <c r="E331" s="6"/>
      <c r="F331" s="12"/>
      <c r="G331" s="8"/>
    </row>
    <row r="332" spans="1:7" ht="54.95" customHeight="1" x14ac:dyDescent="0.25">
      <c r="A332" s="2">
        <v>329</v>
      </c>
      <c r="B332" s="3" t="s">
        <v>343</v>
      </c>
      <c r="C332" s="11" t="s">
        <v>12</v>
      </c>
      <c r="D332" s="5"/>
      <c r="E332" s="6"/>
      <c r="F332" s="7"/>
      <c r="G332" s="8"/>
    </row>
    <row r="333" spans="1:7" ht="54.95" customHeight="1" x14ac:dyDescent="0.25">
      <c r="A333" s="9">
        <v>330</v>
      </c>
      <c r="B333" s="10" t="s">
        <v>344</v>
      </c>
      <c r="C333" s="13" t="s">
        <v>14</v>
      </c>
      <c r="D333" s="5"/>
      <c r="E333" s="6"/>
      <c r="F333" s="12"/>
      <c r="G333" s="8"/>
    </row>
    <row r="334" spans="1:7" ht="54.95" customHeight="1" x14ac:dyDescent="0.25">
      <c r="A334" s="2">
        <v>331</v>
      </c>
      <c r="B334" s="3" t="s">
        <v>345</v>
      </c>
      <c r="C334" s="11" t="s">
        <v>12</v>
      </c>
      <c r="D334" s="5"/>
      <c r="E334" s="6"/>
      <c r="F334" s="7"/>
      <c r="G334" s="8"/>
    </row>
    <row r="335" spans="1:7" ht="54.95" customHeight="1" x14ac:dyDescent="0.25">
      <c r="A335" s="9">
        <v>332</v>
      </c>
      <c r="B335" s="10" t="s">
        <v>346</v>
      </c>
      <c r="C335" s="11" t="s">
        <v>12</v>
      </c>
      <c r="D335" s="5"/>
      <c r="E335" s="6"/>
      <c r="F335" s="12"/>
      <c r="G335" s="8"/>
    </row>
    <row r="336" spans="1:7" ht="54.95" customHeight="1" x14ac:dyDescent="0.25">
      <c r="A336" s="2">
        <v>333</v>
      </c>
      <c r="B336" s="3" t="s">
        <v>347</v>
      </c>
      <c r="C336" s="11" t="s">
        <v>12</v>
      </c>
      <c r="D336" s="5"/>
      <c r="E336" s="6"/>
      <c r="F336" s="7"/>
      <c r="G336" s="8"/>
    </row>
    <row r="337" spans="1:7" ht="54.95" customHeight="1" x14ac:dyDescent="0.25">
      <c r="A337" s="9">
        <v>334</v>
      </c>
      <c r="B337" s="10" t="s">
        <v>348</v>
      </c>
      <c r="C337" s="11" t="s">
        <v>12</v>
      </c>
      <c r="D337" s="5"/>
      <c r="E337" s="6"/>
      <c r="F337" s="12"/>
      <c r="G337" s="8"/>
    </row>
    <row r="338" spans="1:7" ht="54.95" customHeight="1" x14ac:dyDescent="0.25">
      <c r="A338" s="2">
        <v>335</v>
      </c>
      <c r="B338" s="3" t="s">
        <v>349</v>
      </c>
      <c r="C338" s="11" t="s">
        <v>12</v>
      </c>
      <c r="D338" s="5"/>
      <c r="E338" s="6"/>
      <c r="F338" s="7"/>
      <c r="G338" s="8"/>
    </row>
    <row r="339" spans="1:7" ht="54.95" customHeight="1" x14ac:dyDescent="0.25">
      <c r="A339" s="9">
        <v>336</v>
      </c>
      <c r="B339" s="10" t="s">
        <v>350</v>
      </c>
      <c r="C339" s="11" t="s">
        <v>12</v>
      </c>
      <c r="D339" s="5"/>
      <c r="E339" s="6"/>
      <c r="F339" s="12"/>
      <c r="G339" s="8"/>
    </row>
    <row r="340" spans="1:7" ht="54.95" customHeight="1" x14ac:dyDescent="0.25">
      <c r="A340" s="2">
        <v>337</v>
      </c>
      <c r="B340" s="3" t="s">
        <v>351</v>
      </c>
      <c r="C340" s="13" t="s">
        <v>14</v>
      </c>
      <c r="D340" s="5"/>
      <c r="E340" s="6"/>
      <c r="F340" s="7"/>
      <c r="G340" s="8"/>
    </row>
    <row r="341" spans="1:7" ht="54.95" customHeight="1" x14ac:dyDescent="0.25">
      <c r="A341" s="9">
        <v>338</v>
      </c>
      <c r="B341" s="10" t="s">
        <v>352</v>
      </c>
      <c r="C341" s="4" t="s">
        <v>10</v>
      </c>
      <c r="D341" s="5"/>
      <c r="E341" s="6"/>
      <c r="F341" s="12"/>
      <c r="G341" s="8"/>
    </row>
    <row r="342" spans="1:7" ht="54.95" customHeight="1" x14ac:dyDescent="0.25">
      <c r="A342" s="2">
        <v>339</v>
      </c>
      <c r="B342" s="3" t="s">
        <v>353</v>
      </c>
      <c r="C342" s="11" t="s">
        <v>12</v>
      </c>
      <c r="D342" s="5"/>
      <c r="E342" s="6"/>
      <c r="F342" s="7"/>
      <c r="G342" s="8"/>
    </row>
    <row r="343" spans="1:7" ht="54.95" customHeight="1" x14ac:dyDescent="0.25">
      <c r="A343" s="9">
        <v>340</v>
      </c>
      <c r="B343" s="10" t="s">
        <v>354</v>
      </c>
      <c r="C343" s="11" t="s">
        <v>12</v>
      </c>
      <c r="D343" s="5"/>
      <c r="E343" s="6"/>
      <c r="F343" s="12"/>
      <c r="G343" s="8"/>
    </row>
    <row r="344" spans="1:7" ht="54.95" customHeight="1" x14ac:dyDescent="0.25">
      <c r="A344" s="2">
        <v>341</v>
      </c>
      <c r="B344" s="3" t="s">
        <v>355</v>
      </c>
      <c r="C344" s="11" t="s">
        <v>12</v>
      </c>
      <c r="D344" s="5"/>
      <c r="E344" s="6"/>
      <c r="F344" s="7"/>
      <c r="G344" s="8"/>
    </row>
    <row r="345" spans="1:7" ht="54.95" customHeight="1" x14ac:dyDescent="0.25">
      <c r="A345" s="9">
        <v>342</v>
      </c>
      <c r="B345" s="10" t="s">
        <v>356</v>
      </c>
      <c r="C345" s="11" t="s">
        <v>12</v>
      </c>
      <c r="D345" s="5"/>
      <c r="E345" s="6"/>
      <c r="F345" s="12"/>
      <c r="G345" s="8"/>
    </row>
    <row r="346" spans="1:7" ht="54.95" customHeight="1" x14ac:dyDescent="0.25">
      <c r="A346" s="2">
        <v>343</v>
      </c>
      <c r="B346" s="3" t="s">
        <v>357</v>
      </c>
      <c r="C346" s="16" t="s">
        <v>31</v>
      </c>
      <c r="D346" s="5"/>
      <c r="E346" s="6"/>
      <c r="F346" s="7"/>
      <c r="G346" s="8"/>
    </row>
    <row r="347" spans="1:7" ht="54.95" customHeight="1" x14ac:dyDescent="0.25">
      <c r="A347" s="9">
        <v>344</v>
      </c>
      <c r="B347" s="10" t="s">
        <v>358</v>
      </c>
      <c r="C347" s="13" t="s">
        <v>14</v>
      </c>
      <c r="D347" s="5"/>
      <c r="E347" s="6"/>
      <c r="F347" s="12"/>
      <c r="G347" s="8"/>
    </row>
    <row r="348" spans="1:7" ht="54.95" customHeight="1" x14ac:dyDescent="0.25">
      <c r="A348" s="2">
        <v>345</v>
      </c>
      <c r="B348" s="3" t="s">
        <v>359</v>
      </c>
      <c r="C348" s="11" t="s">
        <v>12</v>
      </c>
      <c r="D348" s="5"/>
      <c r="E348" s="6"/>
      <c r="F348" s="7"/>
      <c r="G348" s="8"/>
    </row>
    <row r="349" spans="1:7" ht="54.95" customHeight="1" x14ac:dyDescent="0.25">
      <c r="A349" s="9">
        <v>346</v>
      </c>
      <c r="B349" s="10" t="s">
        <v>360</v>
      </c>
      <c r="C349" s="11" t="s">
        <v>12</v>
      </c>
      <c r="D349" s="5"/>
      <c r="E349" s="6"/>
      <c r="F349" s="12"/>
      <c r="G349" s="8"/>
    </row>
    <row r="350" spans="1:7" ht="54.95" customHeight="1" x14ac:dyDescent="0.25">
      <c r="A350" s="2">
        <v>347</v>
      </c>
      <c r="B350" s="3" t="s">
        <v>361</v>
      </c>
      <c r="C350" s="16" t="s">
        <v>31</v>
      </c>
      <c r="D350" s="5"/>
      <c r="E350" s="6"/>
      <c r="F350" s="7"/>
      <c r="G350" s="8"/>
    </row>
    <row r="351" spans="1:7" ht="54.95" customHeight="1" x14ac:dyDescent="0.25">
      <c r="A351" s="9">
        <v>348</v>
      </c>
      <c r="B351" s="10" t="s">
        <v>362</v>
      </c>
      <c r="C351" s="15" t="s">
        <v>26</v>
      </c>
      <c r="D351" s="5"/>
      <c r="E351" s="6"/>
      <c r="F351" s="12"/>
      <c r="G351" s="8"/>
    </row>
    <row r="352" spans="1:7" ht="54.95" customHeight="1" x14ac:dyDescent="0.25">
      <c r="A352" s="2">
        <v>349</v>
      </c>
      <c r="B352" s="3" t="s">
        <v>363</v>
      </c>
      <c r="C352" s="11" t="s">
        <v>12</v>
      </c>
      <c r="D352" s="5"/>
      <c r="E352" s="6"/>
      <c r="F352" s="7"/>
      <c r="G352" s="8"/>
    </row>
    <row r="353" spans="1:7" ht="54.95" customHeight="1" x14ac:dyDescent="0.25">
      <c r="A353" s="9">
        <v>350</v>
      </c>
      <c r="B353" s="10" t="s">
        <v>364</v>
      </c>
      <c r="C353" s="4" t="s">
        <v>10</v>
      </c>
      <c r="D353" s="5"/>
      <c r="E353" s="6"/>
      <c r="F353" s="12"/>
      <c r="G353" s="8"/>
    </row>
    <row r="354" spans="1:7" ht="54.95" customHeight="1" x14ac:dyDescent="0.25">
      <c r="A354" s="2">
        <v>351</v>
      </c>
      <c r="B354" s="3" t="s">
        <v>365</v>
      </c>
      <c r="C354" s="11" t="s">
        <v>12</v>
      </c>
      <c r="D354" s="5"/>
      <c r="E354" s="6"/>
      <c r="F354" s="7"/>
      <c r="G354" s="8"/>
    </row>
    <row r="355" spans="1:7" ht="54.95" customHeight="1" x14ac:dyDescent="0.25">
      <c r="A355" s="9">
        <v>352</v>
      </c>
      <c r="B355" s="10" t="s">
        <v>366</v>
      </c>
      <c r="C355" s="15" t="s">
        <v>26</v>
      </c>
      <c r="D355" s="5"/>
      <c r="E355" s="6"/>
      <c r="F355" s="12"/>
      <c r="G355" s="8"/>
    </row>
    <row r="356" spans="1:7" ht="54.95" customHeight="1" x14ac:dyDescent="0.25">
      <c r="A356" s="2">
        <v>353</v>
      </c>
      <c r="B356" s="3" t="s">
        <v>367</v>
      </c>
      <c r="C356" s="11" t="s">
        <v>12</v>
      </c>
      <c r="D356" s="5"/>
      <c r="E356" s="6"/>
      <c r="F356" s="7"/>
      <c r="G356" s="8"/>
    </row>
    <row r="357" spans="1:7" ht="54.95" customHeight="1" x14ac:dyDescent="0.25">
      <c r="A357" s="9">
        <v>354</v>
      </c>
      <c r="B357" s="10" t="s">
        <v>368</v>
      </c>
      <c r="C357" s="11" t="s">
        <v>12</v>
      </c>
      <c r="D357" s="5"/>
      <c r="E357" s="6"/>
      <c r="F357" s="12"/>
      <c r="G357" s="8"/>
    </row>
    <row r="358" spans="1:7" ht="54.95" customHeight="1" x14ac:dyDescent="0.25">
      <c r="A358" s="2">
        <v>355</v>
      </c>
      <c r="B358" s="3" t="s">
        <v>369</v>
      </c>
      <c r="C358" s="14" t="s">
        <v>22</v>
      </c>
      <c r="D358" s="5"/>
      <c r="E358" s="6"/>
      <c r="F358" s="7"/>
      <c r="G358" s="8"/>
    </row>
    <row r="359" spans="1:7" ht="54.95" customHeight="1" x14ac:dyDescent="0.25">
      <c r="A359" s="9">
        <v>356</v>
      </c>
      <c r="B359" s="10" t="s">
        <v>370</v>
      </c>
      <c r="C359" s="11" t="s">
        <v>12</v>
      </c>
      <c r="D359" s="5"/>
      <c r="E359" s="6"/>
      <c r="F359" s="12"/>
      <c r="G359" s="8"/>
    </row>
    <row r="360" spans="1:7" ht="54.95" customHeight="1" x14ac:dyDescent="0.25">
      <c r="A360" s="2">
        <v>357</v>
      </c>
      <c r="B360" s="3" t="s">
        <v>371</v>
      </c>
      <c r="C360" s="11" t="s">
        <v>12</v>
      </c>
      <c r="D360" s="5"/>
      <c r="E360" s="6"/>
      <c r="F360" s="7"/>
      <c r="G360" s="8"/>
    </row>
    <row r="361" spans="1:7" ht="54.95" customHeight="1" x14ac:dyDescent="0.25">
      <c r="A361" s="9">
        <v>358</v>
      </c>
      <c r="B361" s="10" t="s">
        <v>372</v>
      </c>
      <c r="C361" s="15" t="s">
        <v>26</v>
      </c>
      <c r="D361" s="5"/>
      <c r="E361" s="6"/>
      <c r="F361" s="12"/>
      <c r="G361" s="8"/>
    </row>
    <row r="362" spans="1:7" ht="54.95" customHeight="1" x14ac:dyDescent="0.25">
      <c r="A362" s="2">
        <v>359</v>
      </c>
      <c r="B362" s="3" t="s">
        <v>373</v>
      </c>
      <c r="C362" s="11" t="s">
        <v>12</v>
      </c>
      <c r="D362" s="5"/>
      <c r="E362" s="6"/>
      <c r="F362" s="7"/>
      <c r="G362" s="8"/>
    </row>
    <row r="363" spans="1:7" ht="54.95" customHeight="1" x14ac:dyDescent="0.25">
      <c r="A363" s="9">
        <v>360</v>
      </c>
      <c r="B363" s="10" t="s">
        <v>374</v>
      </c>
      <c r="C363" s="11" t="s">
        <v>12</v>
      </c>
      <c r="D363" s="5"/>
      <c r="E363" s="6"/>
      <c r="F363" s="12"/>
      <c r="G363" s="8"/>
    </row>
    <row r="364" spans="1:7" ht="54.95" customHeight="1" x14ac:dyDescent="0.25">
      <c r="A364" s="2">
        <v>361</v>
      </c>
      <c r="B364" s="3" t="s">
        <v>375</v>
      </c>
      <c r="C364" s="11" t="s">
        <v>12</v>
      </c>
      <c r="D364" s="5"/>
      <c r="E364" s="6"/>
      <c r="F364" s="7"/>
      <c r="G364" s="8"/>
    </row>
    <row r="365" spans="1:7" ht="54.95" customHeight="1" x14ac:dyDescent="0.25">
      <c r="A365" s="9">
        <v>362</v>
      </c>
      <c r="B365" s="10" t="s">
        <v>376</v>
      </c>
      <c r="C365" s="4" t="s">
        <v>10</v>
      </c>
      <c r="D365" s="5"/>
      <c r="E365" s="6"/>
      <c r="F365" s="12"/>
      <c r="G365" s="8"/>
    </row>
    <row r="366" spans="1:7" ht="54.95" customHeight="1" x14ac:dyDescent="0.25">
      <c r="A366" s="2">
        <v>363</v>
      </c>
      <c r="B366" s="3" t="s">
        <v>377</v>
      </c>
      <c r="C366" s="11" t="s">
        <v>12</v>
      </c>
      <c r="D366" s="5"/>
      <c r="E366" s="6"/>
      <c r="F366" s="7"/>
      <c r="G366" s="8"/>
    </row>
    <row r="367" spans="1:7" ht="54.95" customHeight="1" x14ac:dyDescent="0.25">
      <c r="A367" s="9">
        <v>364</v>
      </c>
      <c r="B367" s="10" t="s">
        <v>378</v>
      </c>
      <c r="C367" s="11" t="s">
        <v>12</v>
      </c>
      <c r="D367" s="5"/>
      <c r="E367" s="6"/>
      <c r="F367" s="12"/>
      <c r="G367" s="8"/>
    </row>
    <row r="368" spans="1:7" ht="54.95" customHeight="1" x14ac:dyDescent="0.25">
      <c r="A368" s="2">
        <v>365</v>
      </c>
      <c r="B368" s="3" t="s">
        <v>379</v>
      </c>
      <c r="C368" s="11" t="s">
        <v>12</v>
      </c>
      <c r="D368" s="5"/>
      <c r="E368" s="6"/>
      <c r="F368" s="7"/>
      <c r="G368" s="8"/>
    </row>
    <row r="369" spans="1:7" ht="54.95" customHeight="1" x14ac:dyDescent="0.25">
      <c r="A369" s="9">
        <v>366</v>
      </c>
      <c r="B369" s="10" t="s">
        <v>380</v>
      </c>
      <c r="C369" s="11" t="s">
        <v>12</v>
      </c>
      <c r="D369" s="5"/>
      <c r="E369" s="6"/>
      <c r="F369" s="12"/>
      <c r="G369" s="8"/>
    </row>
    <row r="370" spans="1:7" ht="54.95" customHeight="1" x14ac:dyDescent="0.25">
      <c r="A370" s="2">
        <v>367</v>
      </c>
      <c r="B370" s="3" t="s">
        <v>381</v>
      </c>
      <c r="C370" s="11" t="s">
        <v>12</v>
      </c>
      <c r="D370" s="5"/>
      <c r="E370" s="6"/>
      <c r="F370" s="7"/>
      <c r="G370" s="8"/>
    </row>
    <row r="371" spans="1:7" ht="54.95" customHeight="1" x14ac:dyDescent="0.25">
      <c r="A371" s="9">
        <v>368</v>
      </c>
      <c r="B371" s="10" t="s">
        <v>382</v>
      </c>
      <c r="C371" s="4" t="s">
        <v>10</v>
      </c>
      <c r="D371" s="5"/>
      <c r="E371" s="6"/>
      <c r="F371" s="12"/>
      <c r="G371" s="8"/>
    </row>
    <row r="372" spans="1:7" ht="54.95" customHeight="1" x14ac:dyDescent="0.25">
      <c r="A372" s="2">
        <v>369</v>
      </c>
      <c r="B372" s="3" t="s">
        <v>383</v>
      </c>
      <c r="C372" s="11" t="s">
        <v>12</v>
      </c>
      <c r="D372" s="5"/>
      <c r="E372" s="6"/>
      <c r="F372" s="7"/>
      <c r="G372" s="8"/>
    </row>
    <row r="373" spans="1:7" ht="54.95" customHeight="1" x14ac:dyDescent="0.25">
      <c r="A373" s="9">
        <v>370</v>
      </c>
      <c r="B373" s="10" t="s">
        <v>384</v>
      </c>
      <c r="C373" s="14" t="s">
        <v>22</v>
      </c>
      <c r="D373" s="5"/>
      <c r="E373" s="6"/>
      <c r="F373" s="12"/>
      <c r="G373" s="8"/>
    </row>
    <row r="374" spans="1:7" ht="54.95" customHeight="1" x14ac:dyDescent="0.25">
      <c r="A374" s="2">
        <v>371</v>
      </c>
      <c r="B374" s="3" t="s">
        <v>385</v>
      </c>
      <c r="C374" s="11" t="s">
        <v>12</v>
      </c>
      <c r="D374" s="5"/>
      <c r="E374" s="6"/>
      <c r="F374" s="7"/>
      <c r="G374" s="8"/>
    </row>
    <row r="375" spans="1:7" ht="54.95" customHeight="1" x14ac:dyDescent="0.25">
      <c r="A375" s="9">
        <v>372</v>
      </c>
      <c r="B375" s="10" t="s">
        <v>386</v>
      </c>
      <c r="C375" s="15" t="s">
        <v>26</v>
      </c>
      <c r="D375" s="5"/>
      <c r="E375" s="6"/>
      <c r="F375" s="12"/>
      <c r="G375" s="8"/>
    </row>
    <row r="376" spans="1:7" ht="54.95" customHeight="1" x14ac:dyDescent="0.25">
      <c r="A376" s="2">
        <v>373</v>
      </c>
      <c r="B376" s="3" t="s">
        <v>387</v>
      </c>
      <c r="C376" s="11" t="s">
        <v>12</v>
      </c>
      <c r="D376" s="5"/>
      <c r="E376" s="6"/>
      <c r="F376" s="7"/>
      <c r="G376" s="8"/>
    </row>
    <row r="377" spans="1:7" ht="54.95" customHeight="1" x14ac:dyDescent="0.25">
      <c r="A377" s="9">
        <v>374</v>
      </c>
      <c r="B377" s="10" t="s">
        <v>388</v>
      </c>
      <c r="C377" s="11" t="s">
        <v>12</v>
      </c>
      <c r="D377" s="5"/>
      <c r="E377" s="6"/>
      <c r="F377" s="12"/>
      <c r="G377" s="8"/>
    </row>
    <row r="378" spans="1:7" ht="54.95" customHeight="1" x14ac:dyDescent="0.25">
      <c r="A378" s="2">
        <v>375</v>
      </c>
      <c r="B378" s="3" t="s">
        <v>389</v>
      </c>
      <c r="C378" s="4" t="s">
        <v>10</v>
      </c>
      <c r="D378" s="5"/>
      <c r="E378" s="6"/>
      <c r="F378" s="7"/>
      <c r="G378" s="8"/>
    </row>
    <row r="379" spans="1:7" ht="54.95" customHeight="1" x14ac:dyDescent="0.25">
      <c r="A379" s="9">
        <v>376</v>
      </c>
      <c r="B379" s="10" t="s">
        <v>390</v>
      </c>
      <c r="C379" s="11" t="s">
        <v>12</v>
      </c>
      <c r="D379" s="5"/>
      <c r="E379" s="6"/>
      <c r="F379" s="12"/>
      <c r="G379" s="8"/>
    </row>
    <row r="380" spans="1:7" ht="54.95" customHeight="1" x14ac:dyDescent="0.25">
      <c r="A380" s="2">
        <v>377</v>
      </c>
      <c r="B380" s="3" t="s">
        <v>391</v>
      </c>
      <c r="C380" s="15" t="s">
        <v>26</v>
      </c>
      <c r="D380" s="5"/>
      <c r="E380" s="6"/>
      <c r="F380" s="7"/>
      <c r="G380" s="8"/>
    </row>
    <row r="381" spans="1:7" ht="54.95" customHeight="1" x14ac:dyDescent="0.25">
      <c r="A381" s="9">
        <v>378</v>
      </c>
      <c r="B381" s="10" t="s">
        <v>392</v>
      </c>
      <c r="C381" s="11" t="s">
        <v>12</v>
      </c>
      <c r="D381" s="5"/>
      <c r="E381" s="6"/>
      <c r="F381" s="12"/>
      <c r="G381" s="8"/>
    </row>
    <row r="382" spans="1:7" ht="54.95" customHeight="1" x14ac:dyDescent="0.25">
      <c r="A382" s="2">
        <v>379</v>
      </c>
      <c r="B382" s="3" t="s">
        <v>393</v>
      </c>
      <c r="C382" s="11" t="s">
        <v>12</v>
      </c>
      <c r="D382" s="5"/>
      <c r="E382" s="6"/>
      <c r="F382" s="7"/>
      <c r="G382" s="8"/>
    </row>
    <row r="383" spans="1:7" ht="54.95" customHeight="1" x14ac:dyDescent="0.25">
      <c r="A383" s="9">
        <v>380</v>
      </c>
      <c r="B383" s="10" t="s">
        <v>394</v>
      </c>
      <c r="C383" s="11" t="s">
        <v>12</v>
      </c>
      <c r="D383" s="5"/>
      <c r="E383" s="6"/>
      <c r="F383" s="12"/>
      <c r="G383" s="8"/>
    </row>
    <row r="384" spans="1:7" ht="54.95" customHeight="1" x14ac:dyDescent="0.25">
      <c r="A384" s="2">
        <v>381</v>
      </c>
      <c r="B384" s="3" t="s">
        <v>395</v>
      </c>
      <c r="C384" s="11" t="s">
        <v>12</v>
      </c>
      <c r="D384" s="5"/>
      <c r="E384" s="6"/>
      <c r="F384" s="7"/>
      <c r="G384" s="8"/>
    </row>
    <row r="385" spans="1:7" ht="54.95" customHeight="1" x14ac:dyDescent="0.25">
      <c r="A385" s="9">
        <v>382</v>
      </c>
      <c r="B385" s="10" t="s">
        <v>396</v>
      </c>
      <c r="C385" s="14" t="s">
        <v>22</v>
      </c>
      <c r="D385" s="5"/>
      <c r="E385" s="6"/>
      <c r="F385" s="12"/>
      <c r="G385" s="8"/>
    </row>
    <row r="386" spans="1:7" ht="54.95" customHeight="1" x14ac:dyDescent="0.25">
      <c r="A386" s="2">
        <v>383</v>
      </c>
      <c r="B386" s="3" t="s">
        <v>397</v>
      </c>
      <c r="C386" s="11" t="s">
        <v>12</v>
      </c>
      <c r="D386" s="5"/>
      <c r="E386" s="6"/>
      <c r="F386" s="7"/>
      <c r="G386" s="8"/>
    </row>
    <row r="387" spans="1:7" ht="54.95" customHeight="1" x14ac:dyDescent="0.25">
      <c r="A387" s="9">
        <v>384</v>
      </c>
      <c r="B387" s="10" t="s">
        <v>398</v>
      </c>
      <c r="C387" s="4" t="s">
        <v>10</v>
      </c>
      <c r="D387" s="5"/>
      <c r="E387" s="6"/>
      <c r="F387" s="12"/>
      <c r="G387" s="8"/>
    </row>
    <row r="388" spans="1:7" ht="54.95" customHeight="1" x14ac:dyDescent="0.25">
      <c r="A388" s="2">
        <v>385</v>
      </c>
      <c r="B388" s="3" t="s">
        <v>399</v>
      </c>
      <c r="C388" s="14" t="s">
        <v>22</v>
      </c>
      <c r="D388" s="5"/>
      <c r="E388" s="6"/>
      <c r="F388" s="7"/>
      <c r="G388" s="8"/>
    </row>
    <row r="389" spans="1:7" ht="54.95" customHeight="1" x14ac:dyDescent="0.25">
      <c r="A389" s="9">
        <v>386</v>
      </c>
      <c r="B389" s="10" t="s">
        <v>400</v>
      </c>
      <c r="C389" s="11" t="s">
        <v>12</v>
      </c>
      <c r="D389" s="5"/>
      <c r="E389" s="6"/>
      <c r="F389" s="12"/>
      <c r="G389" s="8"/>
    </row>
    <row r="390" spans="1:7" ht="54.95" customHeight="1" x14ac:dyDescent="0.25">
      <c r="A390" s="2">
        <v>387</v>
      </c>
      <c r="B390" s="3" t="s">
        <v>401</v>
      </c>
      <c r="C390" s="4" t="s">
        <v>10</v>
      </c>
      <c r="D390" s="5"/>
      <c r="E390" s="6"/>
      <c r="F390" s="7"/>
      <c r="G390" s="8"/>
    </row>
    <row r="391" spans="1:7" ht="54.95" customHeight="1" x14ac:dyDescent="0.25">
      <c r="A391" s="9">
        <v>388</v>
      </c>
      <c r="B391" s="10" t="s">
        <v>402</v>
      </c>
      <c r="C391" s="11" t="s">
        <v>12</v>
      </c>
      <c r="D391" s="5"/>
      <c r="E391" s="6"/>
      <c r="F391" s="12"/>
      <c r="G391" s="8"/>
    </row>
    <row r="392" spans="1:7" ht="54.95" customHeight="1" x14ac:dyDescent="0.25">
      <c r="A392" s="2">
        <v>389</v>
      </c>
      <c r="B392" s="3" t="s">
        <v>403</v>
      </c>
      <c r="C392" s="11" t="s">
        <v>12</v>
      </c>
      <c r="D392" s="5"/>
      <c r="E392" s="6"/>
      <c r="F392" s="7"/>
      <c r="G392" s="8"/>
    </row>
    <row r="393" spans="1:7" ht="54.95" customHeight="1" x14ac:dyDescent="0.25">
      <c r="A393" s="9">
        <v>390</v>
      </c>
      <c r="B393" s="10" t="s">
        <v>404</v>
      </c>
      <c r="C393" s="11" t="s">
        <v>12</v>
      </c>
      <c r="D393" s="5"/>
      <c r="E393" s="6"/>
      <c r="F393" s="12"/>
      <c r="G393" s="8"/>
    </row>
    <row r="394" spans="1:7" ht="54.95" customHeight="1" x14ac:dyDescent="0.25">
      <c r="A394" s="2">
        <v>391</v>
      </c>
      <c r="B394" s="3" t="s">
        <v>405</v>
      </c>
      <c r="C394" s="13" t="s">
        <v>14</v>
      </c>
      <c r="D394" s="5"/>
      <c r="E394" s="6"/>
      <c r="F394" s="7"/>
      <c r="G394" s="8"/>
    </row>
    <row r="395" spans="1:7" ht="54.95" customHeight="1" x14ac:dyDescent="0.25">
      <c r="A395" s="9">
        <v>392</v>
      </c>
      <c r="B395" s="10" t="s">
        <v>406</v>
      </c>
      <c r="C395" s="14" t="s">
        <v>22</v>
      </c>
      <c r="D395" s="5"/>
      <c r="E395" s="6"/>
      <c r="F395" s="12"/>
      <c r="G395" s="8"/>
    </row>
    <row r="396" spans="1:7" ht="54.95" customHeight="1" x14ac:dyDescent="0.25">
      <c r="A396" s="2">
        <v>393</v>
      </c>
      <c r="B396" s="3" t="s">
        <v>407</v>
      </c>
      <c r="C396" s="13" t="s">
        <v>14</v>
      </c>
      <c r="D396" s="5"/>
      <c r="E396" s="6"/>
      <c r="F396" s="7"/>
      <c r="G396" s="8"/>
    </row>
    <row r="397" spans="1:7" ht="54.95" customHeight="1" x14ac:dyDescent="0.25">
      <c r="A397" s="9">
        <v>394</v>
      </c>
      <c r="B397" s="10" t="s">
        <v>408</v>
      </c>
      <c r="C397" s="11" t="s">
        <v>12</v>
      </c>
      <c r="D397" s="5"/>
      <c r="E397" s="6"/>
      <c r="F397" s="12"/>
      <c r="G397" s="8"/>
    </row>
    <row r="398" spans="1:7" ht="54.95" customHeight="1" x14ac:dyDescent="0.25">
      <c r="A398" s="2">
        <v>395</v>
      </c>
      <c r="B398" s="3" t="s">
        <v>409</v>
      </c>
      <c r="C398" s="4" t="s">
        <v>10</v>
      </c>
      <c r="D398" s="5"/>
      <c r="E398" s="6"/>
      <c r="F398" s="7"/>
      <c r="G398" s="8"/>
    </row>
    <row r="399" spans="1:7" ht="54.95" customHeight="1" x14ac:dyDescent="0.25">
      <c r="A399" s="9">
        <v>396</v>
      </c>
      <c r="B399" s="10" t="s">
        <v>410</v>
      </c>
      <c r="C399" s="15" t="s">
        <v>26</v>
      </c>
      <c r="D399" s="5"/>
      <c r="E399" s="6"/>
      <c r="F399" s="12"/>
      <c r="G399" s="8"/>
    </row>
    <row r="400" spans="1:7" ht="54.95" customHeight="1" x14ac:dyDescent="0.25">
      <c r="A400" s="2">
        <v>397</v>
      </c>
      <c r="B400" s="3" t="s">
        <v>411</v>
      </c>
      <c r="C400" s="15" t="s">
        <v>26</v>
      </c>
      <c r="D400" s="5"/>
      <c r="E400" s="6"/>
      <c r="F400" s="7"/>
      <c r="G400" s="8"/>
    </row>
    <row r="401" spans="1:7" ht="54.95" customHeight="1" x14ac:dyDescent="0.25">
      <c r="A401" s="9">
        <v>398</v>
      </c>
      <c r="B401" s="10" t="s">
        <v>412</v>
      </c>
      <c r="C401" s="4" t="s">
        <v>10</v>
      </c>
      <c r="D401" s="5"/>
      <c r="E401" s="6"/>
      <c r="F401" s="12"/>
      <c r="G401" s="8"/>
    </row>
    <row r="402" spans="1:7" ht="54.95" customHeight="1" x14ac:dyDescent="0.25">
      <c r="A402" s="2">
        <v>399</v>
      </c>
      <c r="B402" s="3" t="s">
        <v>413</v>
      </c>
      <c r="C402" s="11" t="s">
        <v>12</v>
      </c>
      <c r="D402" s="5"/>
      <c r="E402" s="6"/>
      <c r="F402" s="7"/>
      <c r="G402" s="8"/>
    </row>
    <row r="403" spans="1:7" ht="54.95" customHeight="1" x14ac:dyDescent="0.25">
      <c r="A403" s="9">
        <v>400</v>
      </c>
      <c r="B403" s="10" t="s">
        <v>414</v>
      </c>
      <c r="C403" s="11" t="s">
        <v>12</v>
      </c>
      <c r="D403" s="5"/>
      <c r="E403" s="6"/>
      <c r="F403" s="12"/>
      <c r="G403" s="8"/>
    </row>
    <row r="404" spans="1:7" ht="54.95" customHeight="1" x14ac:dyDescent="0.25">
      <c r="A404" s="2">
        <v>401</v>
      </c>
      <c r="B404" s="3" t="s">
        <v>415</v>
      </c>
      <c r="C404" s="11" t="s">
        <v>12</v>
      </c>
      <c r="D404" s="5"/>
      <c r="E404" s="6"/>
      <c r="F404" s="7"/>
      <c r="G404" s="8"/>
    </row>
    <row r="405" spans="1:7" ht="54.95" customHeight="1" x14ac:dyDescent="0.25">
      <c r="A405" s="9">
        <v>402</v>
      </c>
      <c r="B405" s="10" t="s">
        <v>416</v>
      </c>
      <c r="C405" s="4" t="s">
        <v>10</v>
      </c>
      <c r="D405" s="5"/>
      <c r="E405" s="6"/>
      <c r="F405" s="12"/>
      <c r="G405" s="8"/>
    </row>
    <row r="406" spans="1:7" ht="54.95" customHeight="1" x14ac:dyDescent="0.25">
      <c r="A406" s="2">
        <v>403</v>
      </c>
      <c r="B406" s="3" t="s">
        <v>417</v>
      </c>
      <c r="C406" s="14" t="s">
        <v>22</v>
      </c>
      <c r="D406" s="5"/>
      <c r="E406" s="6"/>
      <c r="F406" s="7"/>
      <c r="G406" s="8"/>
    </row>
    <row r="407" spans="1:7" ht="54.95" customHeight="1" x14ac:dyDescent="0.25">
      <c r="A407" s="9">
        <v>404</v>
      </c>
      <c r="B407" s="10" t="s">
        <v>418</v>
      </c>
      <c r="C407" s="11" t="s">
        <v>12</v>
      </c>
      <c r="D407" s="5"/>
      <c r="E407" s="6"/>
      <c r="F407" s="12"/>
      <c r="G407" s="8"/>
    </row>
    <row r="408" spans="1:7" ht="54.95" customHeight="1" x14ac:dyDescent="0.25">
      <c r="A408" s="2">
        <v>405</v>
      </c>
      <c r="B408" s="3" t="s">
        <v>419</v>
      </c>
      <c r="C408" s="16" t="s">
        <v>31</v>
      </c>
      <c r="D408" s="5"/>
      <c r="E408" s="6"/>
      <c r="F408" s="7"/>
      <c r="G408" s="8"/>
    </row>
    <row r="409" spans="1:7" ht="54.95" customHeight="1" x14ac:dyDescent="0.25">
      <c r="A409" s="9">
        <v>406</v>
      </c>
      <c r="B409" s="10" t="s">
        <v>420</v>
      </c>
      <c r="C409" s="16" t="s">
        <v>31</v>
      </c>
      <c r="D409" s="5"/>
      <c r="E409" s="6"/>
      <c r="F409" s="12"/>
      <c r="G409" s="8"/>
    </row>
    <row r="410" spans="1:7" ht="54.95" customHeight="1" x14ac:dyDescent="0.25">
      <c r="A410" s="2">
        <v>407</v>
      </c>
      <c r="B410" s="3" t="s">
        <v>421</v>
      </c>
      <c r="C410" s="4" t="s">
        <v>10</v>
      </c>
      <c r="D410" s="5"/>
      <c r="E410" s="6"/>
      <c r="F410" s="7"/>
      <c r="G410" s="8"/>
    </row>
    <row r="411" spans="1:7" ht="54.95" customHeight="1" x14ac:dyDescent="0.25">
      <c r="A411" s="9">
        <v>408</v>
      </c>
      <c r="B411" s="10" t="s">
        <v>422</v>
      </c>
      <c r="C411" s="4" t="s">
        <v>10</v>
      </c>
      <c r="D411" s="5"/>
      <c r="E411" s="6"/>
      <c r="F411" s="12"/>
      <c r="G411" s="8"/>
    </row>
    <row r="412" spans="1:7" ht="54.95" customHeight="1" x14ac:dyDescent="0.25">
      <c r="A412" s="2">
        <v>409</v>
      </c>
      <c r="B412" s="3" t="s">
        <v>423</v>
      </c>
      <c r="C412" s="11" t="s">
        <v>12</v>
      </c>
      <c r="D412" s="5"/>
      <c r="E412" s="6"/>
      <c r="F412" s="7"/>
      <c r="G412" s="8"/>
    </row>
    <row r="413" spans="1:7" ht="54.95" customHeight="1" x14ac:dyDescent="0.25">
      <c r="A413" s="9">
        <v>410</v>
      </c>
      <c r="B413" s="10" t="s">
        <v>424</v>
      </c>
      <c r="C413" s="11" t="s">
        <v>12</v>
      </c>
      <c r="D413" s="5"/>
      <c r="E413" s="6"/>
      <c r="F413" s="12"/>
      <c r="G413" s="8"/>
    </row>
    <row r="414" spans="1:7" ht="54.95" customHeight="1" x14ac:dyDescent="0.25">
      <c r="A414" s="2">
        <v>411</v>
      </c>
      <c r="B414" s="3" t="s">
        <v>425</v>
      </c>
      <c r="C414" s="11" t="s">
        <v>12</v>
      </c>
      <c r="D414" s="5"/>
      <c r="E414" s="6"/>
      <c r="F414" s="7"/>
      <c r="G414" s="8"/>
    </row>
    <row r="415" spans="1:7" ht="54.95" customHeight="1" x14ac:dyDescent="0.25">
      <c r="A415" s="9">
        <v>412</v>
      </c>
      <c r="B415" s="10" t="s">
        <v>426</v>
      </c>
      <c r="C415" s="11" t="s">
        <v>12</v>
      </c>
      <c r="D415" s="5"/>
      <c r="E415" s="6"/>
      <c r="F415" s="12"/>
      <c r="G415" s="8"/>
    </row>
    <row r="416" spans="1:7" ht="54.95" customHeight="1" x14ac:dyDescent="0.25">
      <c r="A416" s="2">
        <v>413</v>
      </c>
      <c r="B416" s="3" t="s">
        <v>427</v>
      </c>
      <c r="C416" s="11" t="s">
        <v>12</v>
      </c>
      <c r="D416" s="5"/>
      <c r="E416" s="6"/>
      <c r="F416" s="7"/>
      <c r="G416" s="8"/>
    </row>
    <row r="417" spans="1:7" ht="54.95" customHeight="1" x14ac:dyDescent="0.25">
      <c r="A417" s="9">
        <v>414</v>
      </c>
      <c r="B417" s="10" t="s">
        <v>428</v>
      </c>
      <c r="C417" s="13" t="s">
        <v>14</v>
      </c>
      <c r="D417" s="5"/>
      <c r="E417" s="6"/>
      <c r="F417" s="12"/>
      <c r="G417" s="8"/>
    </row>
    <row r="418" spans="1:7" ht="54.95" customHeight="1" x14ac:dyDescent="0.25">
      <c r="A418" s="2">
        <v>415</v>
      </c>
      <c r="B418" s="3" t="s">
        <v>429</v>
      </c>
      <c r="C418" s="11" t="s">
        <v>12</v>
      </c>
      <c r="D418" s="5"/>
      <c r="E418" s="6"/>
      <c r="F418" s="7"/>
      <c r="G418" s="8"/>
    </row>
    <row r="419" spans="1:7" ht="54.95" customHeight="1" x14ac:dyDescent="0.25">
      <c r="A419" s="9">
        <v>416</v>
      </c>
      <c r="B419" s="10" t="s">
        <v>430</v>
      </c>
      <c r="C419" s="4" t="s">
        <v>10</v>
      </c>
      <c r="D419" s="5"/>
      <c r="E419" s="6"/>
      <c r="F419" s="12"/>
      <c r="G419" s="8"/>
    </row>
    <row r="420" spans="1:7" ht="54.95" customHeight="1" x14ac:dyDescent="0.25">
      <c r="A420" s="2">
        <v>417</v>
      </c>
      <c r="B420" s="3" t="s">
        <v>431</v>
      </c>
      <c r="C420" s="11" t="s">
        <v>12</v>
      </c>
      <c r="D420" s="5"/>
      <c r="E420" s="6"/>
      <c r="F420" s="7"/>
      <c r="G420" s="8"/>
    </row>
    <row r="421" spans="1:7" ht="54.95" customHeight="1" x14ac:dyDescent="0.25">
      <c r="A421" s="9">
        <v>418</v>
      </c>
      <c r="B421" s="10" t="s">
        <v>432</v>
      </c>
      <c r="C421" s="11" t="s">
        <v>12</v>
      </c>
      <c r="D421" s="5"/>
      <c r="E421" s="6"/>
      <c r="F421" s="12"/>
      <c r="G421" s="8"/>
    </row>
    <row r="422" spans="1:7" ht="54.95" customHeight="1" x14ac:dyDescent="0.25">
      <c r="A422" s="2">
        <v>419</v>
      </c>
      <c r="B422" s="3" t="s">
        <v>433</v>
      </c>
      <c r="C422" s="11" t="s">
        <v>12</v>
      </c>
      <c r="D422" s="5"/>
      <c r="E422" s="6"/>
      <c r="F422" s="7"/>
      <c r="G422" s="8"/>
    </row>
    <row r="423" spans="1:7" ht="54.95" customHeight="1" x14ac:dyDescent="0.25">
      <c r="A423" s="9">
        <v>420</v>
      </c>
      <c r="B423" s="10" t="s">
        <v>434</v>
      </c>
      <c r="C423" s="13" t="s">
        <v>14</v>
      </c>
      <c r="D423" s="5"/>
      <c r="E423" s="6"/>
      <c r="F423" s="12"/>
      <c r="G423" s="8"/>
    </row>
    <row r="424" spans="1:7" ht="54.95" customHeight="1" x14ac:dyDescent="0.25">
      <c r="A424" s="2">
        <v>421</v>
      </c>
      <c r="B424" s="3" t="s">
        <v>435</v>
      </c>
      <c r="C424" s="11" t="s">
        <v>12</v>
      </c>
      <c r="D424" s="5"/>
      <c r="E424" s="6"/>
      <c r="F424" s="7"/>
      <c r="G424" s="8"/>
    </row>
    <row r="425" spans="1:7" ht="54.95" customHeight="1" x14ac:dyDescent="0.25">
      <c r="A425" s="9">
        <v>422</v>
      </c>
      <c r="B425" s="10" t="s">
        <v>436</v>
      </c>
      <c r="C425" s="15" t="s">
        <v>26</v>
      </c>
      <c r="D425" s="5"/>
      <c r="E425" s="6"/>
      <c r="F425" s="12"/>
      <c r="G425" s="8"/>
    </row>
    <row r="426" spans="1:7" ht="54.95" customHeight="1" x14ac:dyDescent="0.25">
      <c r="A426" s="2">
        <v>423</v>
      </c>
      <c r="B426" s="3" t="s">
        <v>437</v>
      </c>
      <c r="C426" s="16" t="s">
        <v>31</v>
      </c>
      <c r="D426" s="5"/>
      <c r="E426" s="6"/>
      <c r="F426" s="7"/>
      <c r="G426" s="8"/>
    </row>
    <row r="427" spans="1:7" ht="54.95" customHeight="1" x14ac:dyDescent="0.25">
      <c r="A427" s="9">
        <v>424</v>
      </c>
      <c r="B427" s="10" t="s">
        <v>438</v>
      </c>
      <c r="C427" s="11" t="s">
        <v>12</v>
      </c>
      <c r="D427" s="5"/>
      <c r="E427" s="6"/>
      <c r="F427" s="12"/>
      <c r="G427" s="8"/>
    </row>
    <row r="428" spans="1:7" ht="54.95" customHeight="1" x14ac:dyDescent="0.25">
      <c r="A428" s="2">
        <v>425</v>
      </c>
      <c r="B428" s="3" t="s">
        <v>439</v>
      </c>
      <c r="C428" s="15" t="s">
        <v>26</v>
      </c>
      <c r="D428" s="5"/>
      <c r="E428" s="6"/>
      <c r="F428" s="7"/>
      <c r="G428" s="8"/>
    </row>
    <row r="429" spans="1:7" ht="54.95" customHeight="1" x14ac:dyDescent="0.25">
      <c r="A429" s="9">
        <v>426</v>
      </c>
      <c r="B429" s="10" t="s">
        <v>440</v>
      </c>
      <c r="C429" s="11" t="s">
        <v>12</v>
      </c>
      <c r="D429" s="5"/>
      <c r="E429" s="6"/>
      <c r="F429" s="12"/>
      <c r="G429" s="8"/>
    </row>
    <row r="430" spans="1:7" ht="54.95" customHeight="1" x14ac:dyDescent="0.25">
      <c r="A430" s="2">
        <v>427</v>
      </c>
      <c r="B430" s="3" t="s">
        <v>441</v>
      </c>
      <c r="C430" s="11" t="s">
        <v>12</v>
      </c>
      <c r="D430" s="5"/>
      <c r="E430" s="6"/>
      <c r="F430" s="7"/>
      <c r="G430" s="8"/>
    </row>
    <row r="431" spans="1:7" ht="54.95" customHeight="1" x14ac:dyDescent="0.25">
      <c r="A431" s="9">
        <v>428</v>
      </c>
      <c r="B431" s="10" t="s">
        <v>442</v>
      </c>
      <c r="C431" s="11" t="s">
        <v>12</v>
      </c>
      <c r="D431" s="5"/>
      <c r="E431" s="6"/>
      <c r="F431" s="12"/>
      <c r="G431" s="8"/>
    </row>
    <row r="432" spans="1:7" ht="54.95" customHeight="1" x14ac:dyDescent="0.25">
      <c r="A432" s="2">
        <v>429</v>
      </c>
      <c r="B432" s="3" t="s">
        <v>443</v>
      </c>
      <c r="C432" s="11" t="s">
        <v>12</v>
      </c>
      <c r="D432" s="5"/>
      <c r="E432" s="6"/>
      <c r="F432" s="7"/>
      <c r="G432" s="8"/>
    </row>
    <row r="433" spans="1:7" ht="54.95" customHeight="1" x14ac:dyDescent="0.25">
      <c r="A433" s="9">
        <v>430</v>
      </c>
      <c r="B433" s="10" t="s">
        <v>444</v>
      </c>
      <c r="C433" s="15" t="s">
        <v>26</v>
      </c>
      <c r="D433" s="5"/>
      <c r="E433" s="6"/>
      <c r="F433" s="12"/>
      <c r="G433" s="8"/>
    </row>
    <row r="434" spans="1:7" ht="54.95" customHeight="1" x14ac:dyDescent="0.25">
      <c r="A434" s="2">
        <v>431</v>
      </c>
      <c r="B434" s="3" t="s">
        <v>445</v>
      </c>
      <c r="C434" s="13" t="s">
        <v>14</v>
      </c>
      <c r="D434" s="5"/>
      <c r="E434" s="6"/>
      <c r="F434" s="7"/>
      <c r="G434" s="8"/>
    </row>
    <row r="435" spans="1:7" ht="54.95" customHeight="1" x14ac:dyDescent="0.25">
      <c r="A435" s="9">
        <v>432</v>
      </c>
      <c r="B435" s="10" t="s">
        <v>446</v>
      </c>
      <c r="C435" s="11" t="s">
        <v>12</v>
      </c>
      <c r="D435" s="5"/>
      <c r="E435" s="6"/>
      <c r="F435" s="12"/>
      <c r="G435" s="8"/>
    </row>
    <row r="436" spans="1:7" ht="54.95" customHeight="1" x14ac:dyDescent="0.25">
      <c r="A436" s="2">
        <v>433</v>
      </c>
      <c r="B436" s="3" t="s">
        <v>447</v>
      </c>
      <c r="C436" s="4" t="s">
        <v>10</v>
      </c>
      <c r="D436" s="5"/>
      <c r="E436" s="6"/>
      <c r="F436" s="7"/>
      <c r="G436" s="8"/>
    </row>
    <row r="437" spans="1:7" ht="54.95" customHeight="1" x14ac:dyDescent="0.25">
      <c r="A437" s="9">
        <v>434</v>
      </c>
      <c r="B437" s="10" t="s">
        <v>448</v>
      </c>
      <c r="C437" s="14" t="s">
        <v>22</v>
      </c>
      <c r="D437" s="5"/>
      <c r="E437" s="6"/>
      <c r="F437" s="12"/>
      <c r="G437" s="8"/>
    </row>
    <row r="438" spans="1:7" ht="54.95" customHeight="1" x14ac:dyDescent="0.25">
      <c r="A438" s="2">
        <v>435</v>
      </c>
      <c r="B438" s="3" t="s">
        <v>449</v>
      </c>
      <c r="C438" s="11" t="s">
        <v>12</v>
      </c>
      <c r="D438" s="5"/>
      <c r="E438" s="6"/>
      <c r="F438" s="7"/>
      <c r="G438" s="8"/>
    </row>
    <row r="439" spans="1:7" ht="54.95" customHeight="1" x14ac:dyDescent="0.25">
      <c r="A439" s="9">
        <v>436</v>
      </c>
      <c r="B439" s="10" t="s">
        <v>450</v>
      </c>
      <c r="C439" s="4" t="s">
        <v>10</v>
      </c>
      <c r="D439" s="5"/>
      <c r="E439" s="6"/>
      <c r="F439" s="12"/>
      <c r="G439" s="8"/>
    </row>
    <row r="440" spans="1:7" ht="54.95" customHeight="1" x14ac:dyDescent="0.25">
      <c r="A440" s="2">
        <v>437</v>
      </c>
      <c r="B440" s="3" t="s">
        <v>451</v>
      </c>
      <c r="C440" s="11" t="s">
        <v>12</v>
      </c>
      <c r="D440" s="5"/>
      <c r="E440" s="6"/>
      <c r="F440" s="7"/>
      <c r="G440" s="8"/>
    </row>
    <row r="441" spans="1:7" ht="54.95" customHeight="1" x14ac:dyDescent="0.25">
      <c r="A441" s="9">
        <v>438</v>
      </c>
      <c r="B441" s="10" t="s">
        <v>452</v>
      </c>
      <c r="C441" s="11" t="s">
        <v>12</v>
      </c>
      <c r="D441" s="5"/>
      <c r="E441" s="6"/>
      <c r="F441" s="12"/>
      <c r="G441" s="8"/>
    </row>
    <row r="442" spans="1:7" ht="54.95" customHeight="1" x14ac:dyDescent="0.25">
      <c r="A442" s="2">
        <v>439</v>
      </c>
      <c r="B442" s="3" t="s">
        <v>453</v>
      </c>
      <c r="C442" s="11" t="s">
        <v>12</v>
      </c>
      <c r="D442" s="5"/>
      <c r="E442" s="6"/>
      <c r="F442" s="7"/>
      <c r="G442" s="8"/>
    </row>
    <row r="443" spans="1:7" ht="54.95" customHeight="1" x14ac:dyDescent="0.25">
      <c r="A443" s="9">
        <v>440</v>
      </c>
      <c r="B443" s="10" t="s">
        <v>454</v>
      </c>
      <c r="C443" s="4" t="s">
        <v>10</v>
      </c>
      <c r="D443" s="5"/>
      <c r="E443" s="6"/>
      <c r="F443" s="12"/>
      <c r="G443" s="8"/>
    </row>
    <row r="444" spans="1:7" ht="54.95" customHeight="1" x14ac:dyDescent="0.25">
      <c r="A444" s="2">
        <v>441</v>
      </c>
      <c r="B444" s="3" t="s">
        <v>455</v>
      </c>
      <c r="C444" s="11" t="s">
        <v>12</v>
      </c>
      <c r="D444" s="5"/>
      <c r="E444" s="6"/>
      <c r="F444" s="7"/>
      <c r="G444" s="8"/>
    </row>
    <row r="445" spans="1:7" ht="54.95" customHeight="1" x14ac:dyDescent="0.25">
      <c r="A445" s="9">
        <v>442</v>
      </c>
      <c r="B445" s="10" t="s">
        <v>456</v>
      </c>
      <c r="C445" s="13" t="s">
        <v>14</v>
      </c>
      <c r="D445" s="5"/>
      <c r="E445" s="6"/>
      <c r="F445" s="12"/>
      <c r="G445" s="8"/>
    </row>
    <row r="446" spans="1:7" ht="54.95" customHeight="1" x14ac:dyDescent="0.25">
      <c r="A446" s="2">
        <v>443</v>
      </c>
      <c r="B446" s="3" t="s">
        <v>457</v>
      </c>
      <c r="C446" s="11" t="s">
        <v>12</v>
      </c>
      <c r="D446" s="5"/>
      <c r="E446" s="6"/>
      <c r="F446" s="7"/>
      <c r="G446" s="8"/>
    </row>
    <row r="447" spans="1:7" ht="54.95" customHeight="1" x14ac:dyDescent="0.25">
      <c r="A447" s="9">
        <v>444</v>
      </c>
      <c r="B447" s="10" t="s">
        <v>458</v>
      </c>
      <c r="C447" s="11" t="s">
        <v>12</v>
      </c>
      <c r="D447" s="5"/>
      <c r="E447" s="6"/>
      <c r="F447" s="12"/>
      <c r="G447" s="8"/>
    </row>
    <row r="448" spans="1:7" ht="54.95" customHeight="1" x14ac:dyDescent="0.25">
      <c r="A448" s="2">
        <v>445</v>
      </c>
      <c r="B448" s="3" t="s">
        <v>459</v>
      </c>
      <c r="C448" s="4" t="s">
        <v>10</v>
      </c>
      <c r="D448" s="5"/>
      <c r="E448" s="6"/>
      <c r="F448" s="7"/>
      <c r="G448" s="8"/>
    </row>
    <row r="449" spans="1:7" ht="54.95" customHeight="1" x14ac:dyDescent="0.25">
      <c r="A449" s="9">
        <v>446</v>
      </c>
      <c r="B449" s="10" t="s">
        <v>460</v>
      </c>
      <c r="C449" s="16" t="s">
        <v>31</v>
      </c>
      <c r="D449" s="5"/>
      <c r="E449" s="6"/>
      <c r="F449" s="12"/>
      <c r="G449" s="8"/>
    </row>
    <row r="450" spans="1:7" ht="54.95" customHeight="1" x14ac:dyDescent="0.25">
      <c r="A450" s="2">
        <v>447</v>
      </c>
      <c r="B450" s="3" t="s">
        <v>461</v>
      </c>
      <c r="C450" s="11" t="s">
        <v>12</v>
      </c>
      <c r="D450" s="5"/>
      <c r="E450" s="6"/>
      <c r="F450" s="7"/>
      <c r="G450" s="8"/>
    </row>
    <row r="451" spans="1:7" ht="54.95" customHeight="1" x14ac:dyDescent="0.25">
      <c r="A451" s="9">
        <v>448</v>
      </c>
      <c r="B451" s="10" t="s">
        <v>462</v>
      </c>
      <c r="C451" s="4" t="s">
        <v>10</v>
      </c>
      <c r="D451" s="5"/>
      <c r="E451" s="6"/>
      <c r="F451" s="12"/>
      <c r="G451" s="8"/>
    </row>
    <row r="452" spans="1:7" ht="54.95" customHeight="1" x14ac:dyDescent="0.25">
      <c r="A452" s="2">
        <v>449</v>
      </c>
      <c r="B452" s="3" t="s">
        <v>463</v>
      </c>
      <c r="C452" s="14" t="s">
        <v>22</v>
      </c>
      <c r="D452" s="5"/>
      <c r="E452" s="6"/>
      <c r="F452" s="7"/>
      <c r="G452" s="8"/>
    </row>
    <row r="453" spans="1:7" ht="54.95" customHeight="1" x14ac:dyDescent="0.25">
      <c r="A453" s="9">
        <v>450</v>
      </c>
      <c r="B453" s="10" t="s">
        <v>464</v>
      </c>
      <c r="C453" s="4" t="s">
        <v>10</v>
      </c>
      <c r="D453" s="5"/>
      <c r="E453" s="6"/>
      <c r="F453" s="12"/>
      <c r="G453" s="8"/>
    </row>
    <row r="454" spans="1:7" ht="54.95" customHeight="1" x14ac:dyDescent="0.25">
      <c r="A454" s="2">
        <v>451</v>
      </c>
      <c r="B454" s="3" t="s">
        <v>465</v>
      </c>
      <c r="C454" s="11" t="s">
        <v>12</v>
      </c>
      <c r="D454" s="5"/>
      <c r="E454" s="6"/>
      <c r="F454" s="7"/>
      <c r="G454" s="8"/>
    </row>
    <row r="455" spans="1:7" ht="54.95" customHeight="1" x14ac:dyDescent="0.25">
      <c r="A455" s="9">
        <v>452</v>
      </c>
      <c r="B455" s="10" t="s">
        <v>466</v>
      </c>
      <c r="C455" s="11" t="s">
        <v>12</v>
      </c>
      <c r="D455" s="5"/>
      <c r="E455" s="6"/>
      <c r="F455" s="12"/>
      <c r="G455" s="8"/>
    </row>
    <row r="456" spans="1:7" ht="54.95" customHeight="1" x14ac:dyDescent="0.25">
      <c r="A456" s="2">
        <v>453</v>
      </c>
      <c r="B456" s="3" t="s">
        <v>467</v>
      </c>
      <c r="C456" s="13" t="s">
        <v>14</v>
      </c>
      <c r="D456" s="5"/>
      <c r="E456" s="6"/>
      <c r="F456" s="7"/>
      <c r="G456" s="8"/>
    </row>
    <row r="457" spans="1:7" ht="54.95" customHeight="1" x14ac:dyDescent="0.25">
      <c r="A457" s="9">
        <v>454</v>
      </c>
      <c r="B457" s="10" t="s">
        <v>468</v>
      </c>
      <c r="C457" s="11" t="s">
        <v>12</v>
      </c>
      <c r="D457" s="5"/>
      <c r="E457" s="6"/>
      <c r="F457" s="12"/>
      <c r="G457" s="8"/>
    </row>
    <row r="458" spans="1:7" ht="54.95" customHeight="1" x14ac:dyDescent="0.25">
      <c r="A458" s="2">
        <v>455</v>
      </c>
      <c r="B458" s="3" t="s">
        <v>469</v>
      </c>
      <c r="C458" s="14" t="s">
        <v>22</v>
      </c>
      <c r="D458" s="5"/>
      <c r="E458" s="6"/>
      <c r="F458" s="7"/>
      <c r="G458" s="8"/>
    </row>
    <row r="459" spans="1:7" ht="54.95" customHeight="1" x14ac:dyDescent="0.25">
      <c r="A459" s="9">
        <v>456</v>
      </c>
      <c r="B459" s="10" t="s">
        <v>470</v>
      </c>
      <c r="C459" s="11" t="s">
        <v>12</v>
      </c>
      <c r="D459" s="5"/>
      <c r="E459" s="6"/>
      <c r="F459" s="12"/>
      <c r="G459" s="8"/>
    </row>
    <row r="460" spans="1:7" ht="54.95" customHeight="1" x14ac:dyDescent="0.25">
      <c r="A460" s="2">
        <v>457</v>
      </c>
      <c r="B460" s="3" t="s">
        <v>471</v>
      </c>
      <c r="C460" s="14" t="s">
        <v>22</v>
      </c>
      <c r="D460" s="5"/>
      <c r="E460" s="6"/>
      <c r="F460" s="7"/>
      <c r="G460" s="8"/>
    </row>
    <row r="461" spans="1:7" ht="54.95" customHeight="1" x14ac:dyDescent="0.25">
      <c r="A461" s="9">
        <v>458</v>
      </c>
      <c r="B461" s="10" t="s">
        <v>472</v>
      </c>
      <c r="C461" s="11" t="s">
        <v>12</v>
      </c>
      <c r="D461" s="5"/>
      <c r="E461" s="6"/>
      <c r="F461" s="12"/>
      <c r="G461" s="8"/>
    </row>
    <row r="462" spans="1:7" ht="54.95" customHeight="1" x14ac:dyDescent="0.25">
      <c r="A462" s="2">
        <v>459</v>
      </c>
      <c r="B462" s="3" t="s">
        <v>473</v>
      </c>
      <c r="C462" s="16" t="s">
        <v>31</v>
      </c>
      <c r="D462" s="5"/>
      <c r="E462" s="6"/>
      <c r="F462" s="7"/>
      <c r="G462" s="8"/>
    </row>
    <row r="463" spans="1:7" ht="54.95" customHeight="1" x14ac:dyDescent="0.25">
      <c r="A463" s="9">
        <v>460</v>
      </c>
      <c r="B463" s="10" t="s">
        <v>474</v>
      </c>
      <c r="C463" s="11" t="s">
        <v>12</v>
      </c>
      <c r="D463" s="5"/>
      <c r="E463" s="6"/>
      <c r="F463" s="12"/>
      <c r="G463" s="8"/>
    </row>
    <row r="464" spans="1:7" ht="54.95" customHeight="1" x14ac:dyDescent="0.25">
      <c r="A464" s="2">
        <v>461</v>
      </c>
      <c r="B464" s="3" t="s">
        <v>475</v>
      </c>
      <c r="C464" s="11" t="s">
        <v>12</v>
      </c>
      <c r="D464" s="5"/>
      <c r="E464" s="6"/>
      <c r="F464" s="7"/>
      <c r="G464" s="8"/>
    </row>
    <row r="465" spans="1:7" ht="54.95" customHeight="1" x14ac:dyDescent="0.25">
      <c r="A465" s="9">
        <v>462</v>
      </c>
      <c r="B465" s="10" t="s">
        <v>476</v>
      </c>
      <c r="C465" s="11" t="s">
        <v>12</v>
      </c>
      <c r="D465" s="5"/>
      <c r="E465" s="6"/>
      <c r="F465" s="12"/>
      <c r="G465" s="8"/>
    </row>
    <row r="466" spans="1:7" ht="54.95" customHeight="1" x14ac:dyDescent="0.25">
      <c r="A466" s="2">
        <v>463</v>
      </c>
      <c r="B466" s="3" t="s">
        <v>477</v>
      </c>
      <c r="C466" s="11" t="s">
        <v>12</v>
      </c>
      <c r="D466" s="5"/>
      <c r="E466" s="6"/>
      <c r="F466" s="7"/>
      <c r="G466" s="8"/>
    </row>
    <row r="467" spans="1:7" ht="54.95" customHeight="1" x14ac:dyDescent="0.25">
      <c r="A467" s="9">
        <v>464</v>
      </c>
      <c r="B467" s="10" t="s">
        <v>478</v>
      </c>
      <c r="C467" s="4" t="s">
        <v>10</v>
      </c>
      <c r="D467" s="5"/>
      <c r="E467" s="6"/>
      <c r="F467" s="12"/>
      <c r="G467" s="8"/>
    </row>
    <row r="468" spans="1:7" ht="54.95" customHeight="1" x14ac:dyDescent="0.25">
      <c r="A468" s="2">
        <v>465</v>
      </c>
      <c r="B468" s="3" t="s">
        <v>479</v>
      </c>
      <c r="C468" s="11" t="s">
        <v>12</v>
      </c>
      <c r="D468" s="5"/>
      <c r="E468" s="6"/>
      <c r="F468" s="7"/>
      <c r="G468" s="8"/>
    </row>
    <row r="469" spans="1:7" ht="54.95" customHeight="1" x14ac:dyDescent="0.25">
      <c r="A469" s="9">
        <v>466</v>
      </c>
      <c r="B469" s="10" t="s">
        <v>480</v>
      </c>
      <c r="C469" s="11" t="s">
        <v>12</v>
      </c>
      <c r="D469" s="5"/>
      <c r="E469" s="6"/>
      <c r="F469" s="12"/>
      <c r="G469" s="8"/>
    </row>
    <row r="470" spans="1:7" ht="54.95" customHeight="1" x14ac:dyDescent="0.25">
      <c r="A470" s="2">
        <v>467</v>
      </c>
      <c r="B470" s="3" t="s">
        <v>481</v>
      </c>
      <c r="C470" s="11" t="s">
        <v>12</v>
      </c>
      <c r="D470" s="5"/>
      <c r="E470" s="6"/>
      <c r="F470" s="7"/>
      <c r="G470" s="8"/>
    </row>
    <row r="471" spans="1:7" ht="54.95" customHeight="1" x14ac:dyDescent="0.25">
      <c r="A471" s="9">
        <v>468</v>
      </c>
      <c r="B471" s="10" t="s">
        <v>482</v>
      </c>
      <c r="C471" s="4" t="s">
        <v>10</v>
      </c>
      <c r="D471" s="5"/>
      <c r="E471" s="6"/>
      <c r="F471" s="12"/>
      <c r="G471" s="8"/>
    </row>
    <row r="472" spans="1:7" ht="54.95" customHeight="1" x14ac:dyDescent="0.25">
      <c r="A472" s="2">
        <v>469</v>
      </c>
      <c r="B472" s="3" t="s">
        <v>483</v>
      </c>
      <c r="C472" s="14" t="s">
        <v>22</v>
      </c>
      <c r="D472" s="5"/>
      <c r="E472" s="6"/>
      <c r="F472" s="7"/>
      <c r="G472" s="8"/>
    </row>
    <row r="473" spans="1:7" ht="54.95" customHeight="1" x14ac:dyDescent="0.25">
      <c r="A473" s="9">
        <v>470</v>
      </c>
      <c r="B473" s="10" t="s">
        <v>484</v>
      </c>
      <c r="C473" s="11" t="s">
        <v>12</v>
      </c>
      <c r="D473" s="5"/>
      <c r="E473" s="6"/>
      <c r="F473" s="12"/>
      <c r="G473" s="8"/>
    </row>
    <row r="474" spans="1:7" ht="54.95" customHeight="1" x14ac:dyDescent="0.25">
      <c r="A474" s="2">
        <v>471</v>
      </c>
      <c r="B474" s="3" t="s">
        <v>485</v>
      </c>
      <c r="C474" s="4" t="s">
        <v>10</v>
      </c>
      <c r="D474" s="5"/>
      <c r="E474" s="6"/>
      <c r="F474" s="7"/>
      <c r="G474" s="8"/>
    </row>
    <row r="475" spans="1:7" ht="54.95" customHeight="1" x14ac:dyDescent="0.25">
      <c r="A475" s="9">
        <v>472</v>
      </c>
      <c r="B475" s="10" t="s">
        <v>486</v>
      </c>
      <c r="C475" s="15" t="s">
        <v>26</v>
      </c>
      <c r="D475" s="5"/>
      <c r="E475" s="6"/>
      <c r="F475" s="12"/>
      <c r="G475" s="8"/>
    </row>
    <row r="476" spans="1:7" ht="54.95" customHeight="1" x14ac:dyDescent="0.25">
      <c r="A476" s="2">
        <v>473</v>
      </c>
      <c r="B476" s="3" t="s">
        <v>487</v>
      </c>
      <c r="C476" s="11" t="s">
        <v>12</v>
      </c>
      <c r="D476" s="5"/>
      <c r="E476" s="6"/>
      <c r="F476" s="7"/>
      <c r="G476" s="8"/>
    </row>
    <row r="477" spans="1:7" ht="54.95" customHeight="1" x14ac:dyDescent="0.25">
      <c r="A477" s="9">
        <v>474</v>
      </c>
      <c r="B477" s="10" t="s">
        <v>488</v>
      </c>
      <c r="C477" s="13" t="s">
        <v>14</v>
      </c>
      <c r="D477" s="5"/>
      <c r="E477" s="6"/>
      <c r="F477" s="12"/>
      <c r="G477" s="8"/>
    </row>
    <row r="478" spans="1:7" ht="54.95" customHeight="1" x14ac:dyDescent="0.25">
      <c r="A478" s="2">
        <v>475</v>
      </c>
      <c r="B478" s="3" t="s">
        <v>489</v>
      </c>
      <c r="C478" s="4" t="s">
        <v>10</v>
      </c>
      <c r="D478" s="5"/>
      <c r="E478" s="6"/>
      <c r="F478" s="7"/>
      <c r="G478" s="8"/>
    </row>
    <row r="479" spans="1:7" ht="54.95" customHeight="1" x14ac:dyDescent="0.25">
      <c r="A479" s="9">
        <v>476</v>
      </c>
      <c r="B479" s="10" t="s">
        <v>490</v>
      </c>
      <c r="C479" s="15" t="s">
        <v>26</v>
      </c>
      <c r="D479" s="5"/>
      <c r="E479" s="6"/>
      <c r="F479" s="12"/>
      <c r="G479" s="8"/>
    </row>
    <row r="480" spans="1:7" ht="54.95" customHeight="1" x14ac:dyDescent="0.25">
      <c r="A480" s="2">
        <v>477</v>
      </c>
      <c r="B480" s="3" t="s">
        <v>491</v>
      </c>
      <c r="C480" s="4" t="s">
        <v>10</v>
      </c>
      <c r="D480" s="5"/>
      <c r="E480" s="6"/>
      <c r="F480" s="7"/>
      <c r="G480" s="8"/>
    </row>
    <row r="481" spans="1:7" ht="54.95" customHeight="1" x14ac:dyDescent="0.25">
      <c r="A481" s="9">
        <v>478</v>
      </c>
      <c r="B481" s="10" t="s">
        <v>492</v>
      </c>
      <c r="C481" s="11" t="s">
        <v>12</v>
      </c>
      <c r="D481" s="5"/>
      <c r="E481" s="6"/>
      <c r="F481" s="12"/>
      <c r="G481" s="8"/>
    </row>
    <row r="482" spans="1:7" ht="54.95" customHeight="1" x14ac:dyDescent="0.25">
      <c r="A482" s="2">
        <v>479</v>
      </c>
      <c r="B482" s="3" t="s">
        <v>493</v>
      </c>
      <c r="C482" s="4" t="s">
        <v>10</v>
      </c>
      <c r="D482" s="5"/>
      <c r="E482" s="6"/>
      <c r="F482" s="7"/>
      <c r="G482" s="8"/>
    </row>
    <row r="483" spans="1:7" ht="54.95" customHeight="1" x14ac:dyDescent="0.25">
      <c r="A483" s="9">
        <v>480</v>
      </c>
      <c r="B483" s="10" t="s">
        <v>494</v>
      </c>
      <c r="C483" s="11" t="s">
        <v>12</v>
      </c>
      <c r="D483" s="5"/>
      <c r="E483" s="6"/>
      <c r="F483" s="12"/>
      <c r="G483" s="8"/>
    </row>
    <row r="484" spans="1:7" ht="54.95" customHeight="1" x14ac:dyDescent="0.25">
      <c r="A484" s="2">
        <v>481</v>
      </c>
      <c r="B484" s="3" t="s">
        <v>495</v>
      </c>
      <c r="C484" s="11" t="s">
        <v>12</v>
      </c>
      <c r="D484" s="5"/>
      <c r="E484" s="6"/>
      <c r="F484" s="7"/>
      <c r="G484" s="8"/>
    </row>
    <row r="485" spans="1:7" ht="54.95" customHeight="1" x14ac:dyDescent="0.25">
      <c r="A485" s="9">
        <v>482</v>
      </c>
      <c r="B485" s="10" t="s">
        <v>496</v>
      </c>
      <c r="C485" s="11" t="s">
        <v>12</v>
      </c>
      <c r="D485" s="5"/>
      <c r="E485" s="6"/>
      <c r="F485" s="12"/>
      <c r="G485" s="8"/>
    </row>
    <row r="486" spans="1:7" ht="54.95" customHeight="1" x14ac:dyDescent="0.25">
      <c r="A486" s="2">
        <v>483</v>
      </c>
      <c r="B486" s="3" t="s">
        <v>497</v>
      </c>
      <c r="C486" s="4" t="s">
        <v>10</v>
      </c>
      <c r="D486" s="5"/>
      <c r="E486" s="6"/>
      <c r="F486" s="7"/>
      <c r="G486" s="8"/>
    </row>
    <row r="487" spans="1:7" ht="54.95" customHeight="1" x14ac:dyDescent="0.25">
      <c r="A487" s="9">
        <v>484</v>
      </c>
      <c r="B487" s="10" t="s">
        <v>498</v>
      </c>
      <c r="C487" s="11" t="s">
        <v>12</v>
      </c>
      <c r="D487" s="5"/>
      <c r="E487" s="6"/>
      <c r="F487" s="12"/>
      <c r="G487" s="8"/>
    </row>
    <row r="488" spans="1:7" ht="54.95" customHeight="1" x14ac:dyDescent="0.25">
      <c r="A488" s="2">
        <v>485</v>
      </c>
      <c r="B488" s="3" t="s">
        <v>499</v>
      </c>
      <c r="C488" s="13" t="s">
        <v>14</v>
      </c>
      <c r="D488" s="5"/>
      <c r="E488" s="6"/>
      <c r="F488" s="7"/>
      <c r="G488" s="8"/>
    </row>
    <row r="489" spans="1:7" ht="54.95" customHeight="1" x14ac:dyDescent="0.25">
      <c r="A489" s="9">
        <v>486</v>
      </c>
      <c r="B489" s="10" t="s">
        <v>500</v>
      </c>
      <c r="C489" s="11" t="s">
        <v>12</v>
      </c>
      <c r="D489" s="5"/>
      <c r="E489" s="6"/>
      <c r="F489" s="12"/>
      <c r="G489" s="8"/>
    </row>
    <row r="490" spans="1:7" ht="54.95" customHeight="1" x14ac:dyDescent="0.25">
      <c r="A490" s="2">
        <v>487</v>
      </c>
      <c r="B490" s="3" t="s">
        <v>501</v>
      </c>
      <c r="C490" s="14" t="s">
        <v>22</v>
      </c>
      <c r="D490" s="5"/>
      <c r="E490" s="6"/>
      <c r="F490" s="7"/>
      <c r="G490" s="8"/>
    </row>
    <row r="491" spans="1:7" ht="54.95" customHeight="1" x14ac:dyDescent="0.25">
      <c r="A491" s="9">
        <v>488</v>
      </c>
      <c r="B491" s="10" t="s">
        <v>502</v>
      </c>
      <c r="C491" s="4" t="s">
        <v>10</v>
      </c>
      <c r="D491" s="5"/>
      <c r="E491" s="6"/>
      <c r="F491" s="12"/>
      <c r="G491" s="8"/>
    </row>
    <row r="492" spans="1:7" ht="54.95" customHeight="1" x14ac:dyDescent="0.25">
      <c r="A492" s="2">
        <v>489</v>
      </c>
      <c r="B492" s="3" t="s">
        <v>503</v>
      </c>
      <c r="C492" s="11" t="s">
        <v>12</v>
      </c>
      <c r="D492" s="5"/>
      <c r="E492" s="6"/>
      <c r="F492" s="7"/>
      <c r="G492" s="8"/>
    </row>
    <row r="493" spans="1:7" ht="54.95" customHeight="1" x14ac:dyDescent="0.25">
      <c r="A493" s="9">
        <v>490</v>
      </c>
      <c r="B493" s="10" t="s">
        <v>504</v>
      </c>
      <c r="C493" s="14" t="s">
        <v>22</v>
      </c>
      <c r="D493" s="5"/>
      <c r="E493" s="6"/>
      <c r="F493" s="12"/>
      <c r="G493" s="8"/>
    </row>
    <row r="494" spans="1:7" ht="54.95" customHeight="1" x14ac:dyDescent="0.25">
      <c r="A494" s="2">
        <v>491</v>
      </c>
      <c r="B494" s="3" t="s">
        <v>505</v>
      </c>
      <c r="C494" s="11" t="s">
        <v>12</v>
      </c>
      <c r="D494" s="5"/>
      <c r="E494" s="6"/>
      <c r="F494" s="7"/>
      <c r="G494" s="8"/>
    </row>
    <row r="495" spans="1:7" ht="54.95" customHeight="1" x14ac:dyDescent="0.25">
      <c r="A495" s="9">
        <v>492</v>
      </c>
      <c r="B495" s="10" t="s">
        <v>506</v>
      </c>
      <c r="C495" s="16" t="s">
        <v>31</v>
      </c>
      <c r="D495" s="5"/>
      <c r="E495" s="6"/>
      <c r="F495" s="12"/>
      <c r="G495" s="8"/>
    </row>
    <row r="496" spans="1:7" ht="54.95" customHeight="1" x14ac:dyDescent="0.25">
      <c r="A496" s="2">
        <v>493</v>
      </c>
      <c r="B496" s="3" t="s">
        <v>507</v>
      </c>
      <c r="C496" s="11" t="s">
        <v>12</v>
      </c>
      <c r="D496" s="5"/>
      <c r="E496" s="6"/>
      <c r="F496" s="7"/>
      <c r="G496" s="8"/>
    </row>
    <row r="497" spans="1:7" ht="54.95" customHeight="1" x14ac:dyDescent="0.25">
      <c r="A497" s="9">
        <v>494</v>
      </c>
      <c r="B497" s="10" t="s">
        <v>508</v>
      </c>
      <c r="C497" s="11" t="s">
        <v>12</v>
      </c>
      <c r="D497" s="5"/>
      <c r="E497" s="6"/>
      <c r="F497" s="12"/>
      <c r="G497" s="8"/>
    </row>
    <row r="498" spans="1:7" ht="54.95" customHeight="1" x14ac:dyDescent="0.25">
      <c r="A498" s="2">
        <v>495</v>
      </c>
      <c r="B498" s="3" t="s">
        <v>509</v>
      </c>
      <c r="C498" s="11" t="s">
        <v>12</v>
      </c>
      <c r="D498" s="5"/>
      <c r="E498" s="6"/>
      <c r="F498" s="7"/>
      <c r="G498" s="8"/>
    </row>
    <row r="499" spans="1:7" ht="54.95" customHeight="1" x14ac:dyDescent="0.25">
      <c r="A499" s="9">
        <v>496</v>
      </c>
      <c r="B499" s="10" t="s">
        <v>510</v>
      </c>
      <c r="C499" s="11" t="s">
        <v>12</v>
      </c>
      <c r="D499" s="5"/>
      <c r="E499" s="6"/>
      <c r="F499" s="12"/>
      <c r="G499" s="8"/>
    </row>
    <row r="500" spans="1:7" ht="54.95" customHeight="1" x14ac:dyDescent="0.25">
      <c r="A500" s="2">
        <v>497</v>
      </c>
      <c r="B500" s="3" t="s">
        <v>511</v>
      </c>
      <c r="C500" s="11" t="s">
        <v>12</v>
      </c>
      <c r="D500" s="5"/>
      <c r="E500" s="6"/>
      <c r="F500" s="7"/>
      <c r="G500" s="8"/>
    </row>
    <row r="501" spans="1:7" ht="54.95" customHeight="1" x14ac:dyDescent="0.25">
      <c r="A501" s="9">
        <v>498</v>
      </c>
      <c r="B501" s="10" t="s">
        <v>512</v>
      </c>
      <c r="C501" s="4" t="s">
        <v>10</v>
      </c>
      <c r="D501" s="5"/>
      <c r="E501" s="6"/>
      <c r="F501" s="12"/>
      <c r="G501" s="8"/>
    </row>
    <row r="502" spans="1:7" ht="54.95" customHeight="1" x14ac:dyDescent="0.25">
      <c r="A502" s="2">
        <v>499</v>
      </c>
      <c r="B502" s="3" t="s">
        <v>513</v>
      </c>
      <c r="C502" s="15" t="s">
        <v>26</v>
      </c>
      <c r="D502" s="5"/>
      <c r="E502" s="6"/>
      <c r="F502" s="7"/>
      <c r="G502" s="8"/>
    </row>
    <row r="503" spans="1:7" ht="54.95" customHeight="1" x14ac:dyDescent="0.25">
      <c r="A503" s="9">
        <v>500</v>
      </c>
      <c r="B503" s="10" t="s">
        <v>514</v>
      </c>
      <c r="C503" s="11" t="s">
        <v>12</v>
      </c>
      <c r="D503" s="5"/>
      <c r="E503" s="6"/>
      <c r="F503" s="12"/>
      <c r="G503" s="8"/>
    </row>
  </sheetData>
  <mergeCells count="2">
    <mergeCell ref="A2:G2"/>
    <mergeCell ref="A1:G1"/>
  </mergeCells>
  <dataValidations count="3">
    <dataValidation type="list" allowBlank="1" showErrorMessage="1" errorTitle="Categoría inválida" error="Usa el desplegable para seleccionar una de las 6 categorías." sqref="D6:D503" xr:uid="{00000000-0002-0000-0000-000000000000}">
      <formula1>"ROUTING,SECURITY,QOS,CONNECTIVITY,MONITORING,GENERAL"</formula1>
    </dataValidation>
    <dataValidation type="list" allowBlank="1" sqref="E4:E503" xr:uid="{00000000-0002-0000-0000-000001000000}">
      <formula1>"1 - Seguro,2 - Dudoso,3 - No sé"</formula1>
    </dataValidation>
    <dataValidation type="list" allowBlank="1" sqref="G4:G503" xr:uid="{00000000-0002-0000-0000-000002000000}">
      <formula1>"ROUTING,SECURITY,QOS,CONNECTIVITY,MONITORING,GENERAL"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ColWidth="9.140625" defaultRowHeight="15" x14ac:dyDescent="0.25"/>
  <cols>
    <col min="1" max="1" width="18" customWidth="1"/>
    <col min="2" max="2" width="55" customWidth="1"/>
    <col min="3" max="3" width="45" customWidth="1"/>
  </cols>
  <sheetData>
    <row r="1" spans="1:3" ht="27.95" customHeight="1" x14ac:dyDescent="0.25">
      <c r="A1" s="47" t="s">
        <v>515</v>
      </c>
      <c r="B1" s="46"/>
      <c r="C1" s="46"/>
    </row>
    <row r="2" spans="1:3" ht="20.100000000000001" customHeight="1" x14ac:dyDescent="0.25">
      <c r="A2" s="17" t="s">
        <v>516</v>
      </c>
      <c r="B2" s="17" t="s">
        <v>517</v>
      </c>
      <c r="C2" s="17" t="s">
        <v>518</v>
      </c>
    </row>
    <row r="3" spans="1:3" ht="75" customHeight="1" x14ac:dyDescent="0.25">
      <c r="A3" s="18" t="s">
        <v>26</v>
      </c>
      <c r="B3" s="19" t="s">
        <v>519</v>
      </c>
      <c r="C3" s="20" t="s">
        <v>520</v>
      </c>
    </row>
    <row r="4" spans="1:3" ht="75" customHeight="1" x14ac:dyDescent="0.25">
      <c r="A4" s="21" t="s">
        <v>14</v>
      </c>
      <c r="B4" s="22" t="s">
        <v>521</v>
      </c>
      <c r="C4" s="20" t="s">
        <v>522</v>
      </c>
    </row>
    <row r="5" spans="1:3" ht="75" customHeight="1" x14ac:dyDescent="0.25">
      <c r="A5" s="23" t="s">
        <v>22</v>
      </c>
      <c r="B5" s="24" t="s">
        <v>523</v>
      </c>
      <c r="C5" s="20" t="s">
        <v>524</v>
      </c>
    </row>
    <row r="6" spans="1:3" ht="75" customHeight="1" x14ac:dyDescent="0.25">
      <c r="A6" s="25" t="s">
        <v>10</v>
      </c>
      <c r="B6" s="26" t="s">
        <v>525</v>
      </c>
      <c r="C6" s="20" t="s">
        <v>526</v>
      </c>
    </row>
    <row r="7" spans="1:3" ht="75" customHeight="1" x14ac:dyDescent="0.25">
      <c r="A7" s="27" t="s">
        <v>31</v>
      </c>
      <c r="B7" s="28" t="s">
        <v>527</v>
      </c>
      <c r="C7" s="20" t="s">
        <v>528</v>
      </c>
    </row>
    <row r="8" spans="1:3" ht="75" customHeight="1" x14ac:dyDescent="0.25">
      <c r="A8" s="29" t="s">
        <v>12</v>
      </c>
      <c r="B8" s="30" t="s">
        <v>529</v>
      </c>
      <c r="C8" s="20" t="s">
        <v>530</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sheetViews>
  <sheetFormatPr baseColWidth="10" defaultColWidth="9.140625" defaultRowHeight="15" x14ac:dyDescent="0.25"/>
  <cols>
    <col min="1" max="1" width="22" customWidth="1"/>
    <col min="2" max="3" width="14" customWidth="1"/>
    <col min="4" max="4" width="20" customWidth="1"/>
  </cols>
  <sheetData>
    <row r="1" spans="1:4" ht="26.1" customHeight="1" x14ac:dyDescent="0.25">
      <c r="A1" s="48" t="s">
        <v>531</v>
      </c>
      <c r="B1" s="46"/>
      <c r="C1" s="46"/>
      <c r="D1" s="46"/>
    </row>
    <row r="2" spans="1:4" x14ac:dyDescent="0.25">
      <c r="A2" s="31" t="s">
        <v>516</v>
      </c>
      <c r="B2" s="31" t="s">
        <v>532</v>
      </c>
      <c r="C2" s="31" t="s">
        <v>533</v>
      </c>
      <c r="D2" s="31" t="s">
        <v>534</v>
      </c>
    </row>
    <row r="3" spans="1:4" x14ac:dyDescent="0.25">
      <c r="A3" s="32" t="s">
        <v>26</v>
      </c>
      <c r="B3" s="33">
        <f>COUNTIF(Anotación!D4:D503,"ROUTING")</f>
        <v>2</v>
      </c>
      <c r="C3" s="34">
        <f t="shared" ref="C3:C8" si="0">IF(B3=0,0,B3/500)</f>
        <v>4.0000000000000001E-3</v>
      </c>
      <c r="D3" s="34">
        <f>IFERROR(COUNTIFS(Anotación!D4:D503,"ROUTING",Anotación!G4:G503,"ROUTING")/B3,"-")</f>
        <v>0</v>
      </c>
    </row>
    <row r="4" spans="1:4" x14ac:dyDescent="0.25">
      <c r="A4" s="35" t="s">
        <v>14</v>
      </c>
      <c r="B4" s="33">
        <f>COUNTIF(Anotación!D4:D503,"SECURITY")</f>
        <v>1</v>
      </c>
      <c r="C4" s="34">
        <f t="shared" si="0"/>
        <v>2E-3</v>
      </c>
      <c r="D4" s="34">
        <f>IFERROR(COUNTIFS(Anotación!D4:D503,"SECURITY",Anotación!G4:G503,"SECURITY")/B4,"-")</f>
        <v>0</v>
      </c>
    </row>
    <row r="5" spans="1:4" x14ac:dyDescent="0.25">
      <c r="A5" s="36" t="s">
        <v>22</v>
      </c>
      <c r="B5" s="33">
        <f>COUNTIF(Anotación!D4:D503,"QOS")</f>
        <v>1</v>
      </c>
      <c r="C5" s="34">
        <f t="shared" si="0"/>
        <v>2E-3</v>
      </c>
      <c r="D5" s="34">
        <f>IFERROR(COUNTIFS(Anotación!D4:D503,"QOS",Anotación!G4:G503,"QOS")/B5,"-")</f>
        <v>0</v>
      </c>
    </row>
    <row r="6" spans="1:4" x14ac:dyDescent="0.25">
      <c r="A6" s="37" t="s">
        <v>10</v>
      </c>
      <c r="B6" s="33">
        <f>COUNTIF(Anotación!D4:D503,"CONNECTIVITY")</f>
        <v>1</v>
      </c>
      <c r="C6" s="34">
        <f t="shared" si="0"/>
        <v>2E-3</v>
      </c>
      <c r="D6" s="34">
        <f>IFERROR(COUNTIFS(Anotación!D4:D503,"CONNECTIVITY",Anotación!G4:G503,"CONNECTIVITY")/B6,"-")</f>
        <v>0</v>
      </c>
    </row>
    <row r="7" spans="1:4" x14ac:dyDescent="0.25">
      <c r="A7" s="38" t="s">
        <v>31</v>
      </c>
      <c r="B7" s="33">
        <f>COUNTIF(Anotación!D4:D503,"MONITORING")</f>
        <v>2</v>
      </c>
      <c r="C7" s="34">
        <f t="shared" si="0"/>
        <v>4.0000000000000001E-3</v>
      </c>
      <c r="D7" s="34">
        <f>IFERROR(COUNTIFS(Anotación!D4:D503,"MONITORING",Anotación!G4:G503,"MONITORING")/B7,"-")</f>
        <v>0</v>
      </c>
    </row>
    <row r="8" spans="1:4" x14ac:dyDescent="0.25">
      <c r="A8" s="39" t="s">
        <v>12</v>
      </c>
      <c r="B8" s="33">
        <f>COUNTIF(Anotación!D4:D503,"GENERAL")</f>
        <v>0</v>
      </c>
      <c r="C8" s="34">
        <f t="shared" si="0"/>
        <v>0</v>
      </c>
      <c r="D8" s="34" t="str">
        <f>IFERROR(COUNTIFS(Anotación!D4:D503,"GENERAL",Anotación!G4:G503,"GENERAL")/B8,"-")</f>
        <v>-</v>
      </c>
    </row>
    <row r="9" spans="1:4" x14ac:dyDescent="0.25">
      <c r="A9" s="40" t="s">
        <v>535</v>
      </c>
      <c r="B9" s="41">
        <f>SUM(B3:B8)</f>
        <v>7</v>
      </c>
      <c r="C9" s="42">
        <f>B9/500</f>
        <v>1.4E-2</v>
      </c>
    </row>
    <row r="11" spans="1:4" x14ac:dyDescent="0.25">
      <c r="A11" s="40" t="s">
        <v>536</v>
      </c>
      <c r="B11" s="43">
        <f>SUMPRODUCT((Anotación!D4:D503=Anotación!G4:G503)*(Anotación!D4:D503&lt;&gt;"")*(Anotación!G4:G503&lt;&gt;""))</f>
        <v>0</v>
      </c>
      <c r="C11" s="44">
        <f>IFERROR(B11/SUMPRODUCT((Anotación!D4:D503&lt;&gt;"")*(Anotación!G4:G503&lt;&gt;"")),0)</f>
        <v>0</v>
      </c>
    </row>
    <row r="12" spans="1:4" x14ac:dyDescent="0.25">
      <c r="A12" s="49" t="s">
        <v>537</v>
      </c>
      <c r="B12" s="46"/>
      <c r="C12" s="46"/>
      <c r="D12" s="46"/>
    </row>
  </sheetData>
  <mergeCells count="2">
    <mergeCell ref="A1:D1"/>
    <mergeCell ref="A12:D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Anotación</vt:lpstr>
      <vt:lpstr>Guía de Categorías</vt:lpstr>
      <vt:lpstr>Estadísticas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Felipe Bolanos Ortega</cp:lastModifiedBy>
  <dcterms:created xsi:type="dcterms:W3CDTF">2026-03-16T16:20:49Z</dcterms:created>
  <dcterms:modified xsi:type="dcterms:W3CDTF">2026-03-16T17:31:52Z</dcterms:modified>
</cp:coreProperties>
</file>